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\Desktop\WILSON\AULAS\MBA DSA\Materiais em Python\Análise Fatorial PCA\"/>
    </mc:Choice>
  </mc:AlternateContent>
  <xr:revisionPtr revIDLastSave="0" documentId="13_ncr:1_{373A8667-209C-44FA-8178-0A447142B899}" xr6:coauthVersionLast="47" xr6:coauthVersionMax="47" xr10:uidLastSave="{00000000-0000-0000-0000-000000000000}"/>
  <bookViews>
    <workbookView xWindow="-120" yWindow="-120" windowWidth="20730" windowHeight="11040" tabRatio="680" xr2:uid="{00000000-000D-0000-FFFF-FFFF00000000}"/>
  </bookViews>
  <sheets>
    <sheet name="Dados Notas Fator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1" i="1" l="1"/>
  <c r="U11" i="1"/>
  <c r="V12" i="1"/>
  <c r="U12" i="1"/>
  <c r="T12" i="1"/>
  <c r="T11" i="1"/>
  <c r="T10" i="1"/>
  <c r="V10" i="1"/>
  <c r="W10" i="1"/>
  <c r="W9" i="1"/>
  <c r="V9" i="1"/>
  <c r="U9" i="1"/>
  <c r="K104" i="1"/>
  <c r="J104" i="1"/>
  <c r="I104" i="1"/>
  <c r="H104" i="1"/>
  <c r="E104" i="1"/>
  <c r="D104" i="1"/>
  <c r="C104" i="1"/>
  <c r="B104" i="1"/>
  <c r="E103" i="1"/>
  <c r="D103" i="1"/>
  <c r="C103" i="1"/>
  <c r="B103" i="1"/>
  <c r="W34" i="1"/>
  <c r="W33" i="1"/>
  <c r="W32" i="1"/>
  <c r="W31" i="1"/>
  <c r="V34" i="1"/>
  <c r="V33" i="1"/>
  <c r="V32" i="1"/>
  <c r="V31" i="1"/>
  <c r="U34" i="1"/>
  <c r="U33" i="1"/>
  <c r="U32" i="1"/>
  <c r="U31" i="1"/>
  <c r="T34" i="1"/>
  <c r="T33" i="1"/>
  <c r="T32" i="1"/>
  <c r="T31" i="1"/>
  <c r="T20" i="1"/>
  <c r="U19" i="1" s="1"/>
  <c r="Z4" i="1"/>
  <c r="V5" i="1"/>
  <c r="U5" i="1"/>
  <c r="T5" i="1"/>
  <c r="W5" i="1"/>
  <c r="U4" i="1"/>
  <c r="T4" i="1"/>
  <c r="W4" i="1"/>
  <c r="T3" i="1"/>
  <c r="W3" i="1"/>
  <c r="V3" i="1"/>
  <c r="V4" i="1"/>
  <c r="U3" i="1"/>
  <c r="W2" i="1"/>
  <c r="V2" i="1"/>
  <c r="U2" i="1"/>
  <c r="T2" i="1"/>
  <c r="I36" i="1" l="1"/>
  <c r="K70" i="1"/>
  <c r="K22" i="1"/>
  <c r="K54" i="1"/>
  <c r="K58" i="1"/>
  <c r="H100" i="1"/>
  <c r="K6" i="1"/>
  <c r="K38" i="1"/>
  <c r="I101" i="1"/>
  <c r="H6" i="1"/>
  <c r="O6" i="1" s="1" a="1"/>
  <c r="O6" i="1" s="1"/>
  <c r="K20" i="1"/>
  <c r="K36" i="1"/>
  <c r="K52" i="1"/>
  <c r="J101" i="1"/>
  <c r="K8" i="1"/>
  <c r="K24" i="1"/>
  <c r="K40" i="1"/>
  <c r="K56" i="1"/>
  <c r="K10" i="1"/>
  <c r="K26" i="1"/>
  <c r="K42" i="1"/>
  <c r="K101" i="1"/>
  <c r="K12" i="1"/>
  <c r="K28" i="1"/>
  <c r="K44" i="1"/>
  <c r="K60" i="1"/>
  <c r="K14" i="1"/>
  <c r="K30" i="1"/>
  <c r="K46" i="1"/>
  <c r="K62" i="1"/>
  <c r="K2" i="1"/>
  <c r="K16" i="1"/>
  <c r="K32" i="1"/>
  <c r="K48" i="1"/>
  <c r="K64" i="1"/>
  <c r="K4" i="1"/>
  <c r="K18" i="1"/>
  <c r="K34" i="1"/>
  <c r="K50" i="1"/>
  <c r="K66" i="1"/>
  <c r="H10" i="1"/>
  <c r="H28" i="1"/>
  <c r="O28" i="1" s="1" a="1"/>
  <c r="O28" i="1" s="1"/>
  <c r="I2" i="1"/>
  <c r="I6" i="1"/>
  <c r="I10" i="1"/>
  <c r="I14" i="1"/>
  <c r="I18" i="1"/>
  <c r="I22" i="1"/>
  <c r="I24" i="1"/>
  <c r="I26" i="1"/>
  <c r="I28" i="1"/>
  <c r="I30" i="1"/>
  <c r="I32" i="1"/>
  <c r="I34" i="1"/>
  <c r="P34" i="1" s="1" a="1"/>
  <c r="P34" i="1" s="1"/>
  <c r="I38" i="1"/>
  <c r="I40" i="1"/>
  <c r="I42" i="1"/>
  <c r="I44" i="1"/>
  <c r="I46" i="1"/>
  <c r="I48" i="1"/>
  <c r="I50" i="1"/>
  <c r="I52" i="1"/>
  <c r="I54" i="1"/>
  <c r="I56" i="1"/>
  <c r="I58" i="1"/>
  <c r="I60" i="1"/>
  <c r="I62" i="1"/>
  <c r="I64" i="1"/>
  <c r="I66" i="1"/>
  <c r="I68" i="1"/>
  <c r="I70" i="1"/>
  <c r="I72" i="1"/>
  <c r="I74" i="1"/>
  <c r="I76" i="1"/>
  <c r="O76" i="1" s="1" a="1"/>
  <c r="O76" i="1" s="1"/>
  <c r="I78" i="1"/>
  <c r="I80" i="1"/>
  <c r="I82" i="1"/>
  <c r="I84" i="1"/>
  <c r="I86" i="1"/>
  <c r="I88" i="1"/>
  <c r="I90" i="1"/>
  <c r="I92" i="1"/>
  <c r="N92" i="1" s="1" a="1"/>
  <c r="N92" i="1" s="1"/>
  <c r="I94" i="1"/>
  <c r="I96" i="1"/>
  <c r="I98" i="1"/>
  <c r="I100" i="1"/>
  <c r="H2" i="1"/>
  <c r="H16" i="1"/>
  <c r="H36" i="1"/>
  <c r="I4" i="1"/>
  <c r="I8" i="1"/>
  <c r="I12" i="1"/>
  <c r="I16" i="1"/>
  <c r="I20" i="1"/>
  <c r="J2" i="1"/>
  <c r="J4" i="1"/>
  <c r="J6" i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98" i="1"/>
  <c r="J100" i="1"/>
  <c r="H54" i="1"/>
  <c r="K68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H3" i="1"/>
  <c r="H5" i="1"/>
  <c r="H7" i="1"/>
  <c r="H9" i="1"/>
  <c r="H11" i="1"/>
  <c r="H13" i="1"/>
  <c r="H15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4" i="1"/>
  <c r="H14" i="1"/>
  <c r="H22" i="1"/>
  <c r="H30" i="1"/>
  <c r="H38" i="1"/>
  <c r="H44" i="1"/>
  <c r="H50" i="1"/>
  <c r="H58" i="1"/>
  <c r="H64" i="1"/>
  <c r="H70" i="1"/>
  <c r="H78" i="1"/>
  <c r="N78" i="1" s="1" a="1"/>
  <c r="N78" i="1" s="1"/>
  <c r="H96" i="1"/>
  <c r="I3" i="1"/>
  <c r="I5" i="1"/>
  <c r="I7" i="1"/>
  <c r="I9" i="1"/>
  <c r="I11" i="1"/>
  <c r="I13" i="1"/>
  <c r="I15" i="1"/>
  <c r="I17" i="1"/>
  <c r="I19" i="1"/>
  <c r="I21" i="1"/>
  <c r="I23" i="1"/>
  <c r="I25" i="1"/>
  <c r="I27" i="1"/>
  <c r="I29" i="1"/>
  <c r="I31" i="1"/>
  <c r="I33" i="1"/>
  <c r="I35" i="1"/>
  <c r="I37" i="1"/>
  <c r="I39" i="1"/>
  <c r="I41" i="1"/>
  <c r="I43" i="1"/>
  <c r="I45" i="1"/>
  <c r="I47" i="1"/>
  <c r="I49" i="1"/>
  <c r="I51" i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H8" i="1"/>
  <c r="H18" i="1"/>
  <c r="P18" i="1" s="1" a="1"/>
  <c r="P18" i="1" s="1"/>
  <c r="H24" i="1"/>
  <c r="H34" i="1"/>
  <c r="H42" i="1"/>
  <c r="H48" i="1"/>
  <c r="O48" i="1" s="1" a="1"/>
  <c r="O48" i="1" s="1"/>
  <c r="H56" i="1"/>
  <c r="H62" i="1"/>
  <c r="H68" i="1"/>
  <c r="H72" i="1"/>
  <c r="H76" i="1"/>
  <c r="H80" i="1"/>
  <c r="H84" i="1"/>
  <c r="H88" i="1"/>
  <c r="H92" i="1"/>
  <c r="H94" i="1"/>
  <c r="H98" i="1"/>
  <c r="J3" i="1"/>
  <c r="J5" i="1"/>
  <c r="J7" i="1"/>
  <c r="J9" i="1"/>
  <c r="J11" i="1"/>
  <c r="J13" i="1"/>
  <c r="J15" i="1"/>
  <c r="J17" i="1"/>
  <c r="J19" i="1"/>
  <c r="J21" i="1"/>
  <c r="J23" i="1"/>
  <c r="J25" i="1"/>
  <c r="J27" i="1"/>
  <c r="J29" i="1"/>
  <c r="J31" i="1"/>
  <c r="J33" i="1"/>
  <c r="J35" i="1"/>
  <c r="J37" i="1"/>
  <c r="J39" i="1"/>
  <c r="J41" i="1"/>
  <c r="J43" i="1"/>
  <c r="J45" i="1"/>
  <c r="J47" i="1"/>
  <c r="J49" i="1"/>
  <c r="J51" i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H12" i="1"/>
  <c r="H20" i="1"/>
  <c r="H26" i="1"/>
  <c r="H32" i="1"/>
  <c r="H40" i="1"/>
  <c r="H46" i="1"/>
  <c r="H52" i="1"/>
  <c r="H60" i="1"/>
  <c r="Q60" i="1" s="1" a="1"/>
  <c r="Q60" i="1" s="1"/>
  <c r="H66" i="1"/>
  <c r="H74" i="1"/>
  <c r="H82" i="1"/>
  <c r="P82" i="1" s="1" a="1"/>
  <c r="P82" i="1" s="1"/>
  <c r="H86" i="1"/>
  <c r="H90" i="1"/>
  <c r="K3" i="1"/>
  <c r="K5" i="1"/>
  <c r="K7" i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Z3" i="1"/>
  <c r="Z5" i="1" s="1"/>
  <c r="U16" i="1"/>
  <c r="V16" i="1" s="1"/>
  <c r="U17" i="1"/>
  <c r="U18" i="1"/>
  <c r="O72" i="1" l="1" a="1"/>
  <c r="O72" i="1" s="1"/>
  <c r="O50" i="1" a="1"/>
  <c r="O50" i="1" s="1"/>
  <c r="O80" i="1" a="1"/>
  <c r="O80" i="1" s="1"/>
  <c r="O9" i="1" a="1"/>
  <c r="O9" i="1" s="1"/>
  <c r="P96" i="1" a="1"/>
  <c r="P96" i="1" s="1"/>
  <c r="N64" i="1" a="1"/>
  <c r="N64" i="1" s="1"/>
  <c r="P20" i="1" a="1"/>
  <c r="P20" i="1" s="1"/>
  <c r="P2" i="1" a="1"/>
  <c r="P2" i="1" s="1"/>
  <c r="N89" i="1" a="1"/>
  <c r="N89" i="1" s="1"/>
  <c r="N9" i="1" a="1"/>
  <c r="N9" i="1" s="1"/>
  <c r="O16" i="1" a="1"/>
  <c r="O16" i="1" s="1"/>
  <c r="O30" i="1" a="1"/>
  <c r="O30" i="1" s="1"/>
  <c r="P90" i="1" a="1"/>
  <c r="P90" i="1" s="1"/>
  <c r="N2" i="1" a="1"/>
  <c r="N2" i="1" s="1"/>
  <c r="O45" i="1" a="1"/>
  <c r="O45" i="1" s="1"/>
  <c r="N73" i="1" a="1"/>
  <c r="N73" i="1" s="1"/>
  <c r="O41" i="1" a="1"/>
  <c r="O41" i="1" s="1"/>
  <c r="P64" i="1" a="1"/>
  <c r="P64" i="1" s="1"/>
  <c r="N87" i="1" a="1"/>
  <c r="N87" i="1" s="1"/>
  <c r="O71" i="1" a="1"/>
  <c r="O71" i="1" s="1"/>
  <c r="N55" i="1" a="1"/>
  <c r="N55" i="1" s="1"/>
  <c r="P39" i="1" a="1"/>
  <c r="P39" i="1" s="1"/>
  <c r="N12" i="1" a="1"/>
  <c r="N12" i="1" s="1"/>
  <c r="P66" i="1" a="1"/>
  <c r="P66" i="1" s="1"/>
  <c r="O12" i="1" a="1"/>
  <c r="O12" i="1" s="1"/>
  <c r="N76" i="1" a="1"/>
  <c r="N76" i="1" s="1"/>
  <c r="P23" i="1" a="1"/>
  <c r="P23" i="1" s="1"/>
  <c r="N95" i="1" a="1"/>
  <c r="N95" i="1" s="1"/>
  <c r="N71" i="1" a="1"/>
  <c r="N71" i="1" s="1"/>
  <c r="P98" i="1" a="1"/>
  <c r="P98" i="1" s="1"/>
  <c r="N94" i="1" a="1"/>
  <c r="N94" i="1" s="1"/>
  <c r="N30" i="1" a="1"/>
  <c r="N30" i="1" s="1"/>
  <c r="N93" i="1" a="1"/>
  <c r="N93" i="1" s="1"/>
  <c r="N77" i="1" a="1"/>
  <c r="N77" i="1" s="1"/>
  <c r="P73" i="1" a="1"/>
  <c r="P73" i="1" s="1"/>
  <c r="N18" i="1" a="1"/>
  <c r="N18" i="1" s="1"/>
  <c r="O18" i="1" a="1"/>
  <c r="O18" i="1" s="1"/>
  <c r="Q26" i="1" a="1"/>
  <c r="Q26" i="1" s="1"/>
  <c r="O14" i="1" a="1"/>
  <c r="O14" i="1" s="1"/>
  <c r="O25" i="1" a="1"/>
  <c r="O25" i="1" s="1"/>
  <c r="P41" i="1" a="1"/>
  <c r="P41" i="1" s="1"/>
  <c r="O61" i="1" a="1"/>
  <c r="O61" i="1" s="1"/>
  <c r="N13" i="1" a="1"/>
  <c r="N13" i="1" s="1"/>
  <c r="O57" i="1" a="1"/>
  <c r="O57" i="1" s="1"/>
  <c r="P9" i="1" a="1"/>
  <c r="P9" i="1" s="1"/>
  <c r="P4" i="1" a="1"/>
  <c r="P4" i="1" s="1"/>
  <c r="O55" i="1" a="1"/>
  <c r="O55" i="1" s="1"/>
  <c r="O7" i="1" a="1"/>
  <c r="O7" i="1" s="1"/>
  <c r="N39" i="1" a="1"/>
  <c r="N39" i="1" s="1"/>
  <c r="N4" i="1" a="1"/>
  <c r="N4" i="1" s="1"/>
  <c r="O39" i="1" a="1"/>
  <c r="O39" i="1" s="1"/>
  <c r="P60" i="1" a="1"/>
  <c r="P60" i="1" s="1"/>
  <c r="P28" i="1" a="1"/>
  <c r="P28" i="1" s="1"/>
  <c r="P95" i="1" a="1"/>
  <c r="P95" i="1" s="1"/>
  <c r="P31" i="1" a="1"/>
  <c r="P31" i="1" s="1"/>
  <c r="P51" i="1" a="1"/>
  <c r="P51" i="1" s="1"/>
  <c r="P85" i="1" a="1"/>
  <c r="P85" i="1" s="1"/>
  <c r="P55" i="1" a="1"/>
  <c r="P55" i="1" s="1"/>
  <c r="N79" i="1" a="1"/>
  <c r="N79" i="1" s="1"/>
  <c r="O11" i="1" a="1"/>
  <c r="O11" i="1" s="1"/>
  <c r="N99" i="1" a="1"/>
  <c r="N99" i="1" s="1"/>
  <c r="N67" i="1" a="1"/>
  <c r="N67" i="1" s="1"/>
  <c r="N35" i="1" a="1"/>
  <c r="N35" i="1" s="1"/>
  <c r="N53" i="1" a="1"/>
  <c r="N53" i="1" s="1"/>
  <c r="P21" i="1" a="1"/>
  <c r="P21" i="1" s="1"/>
  <c r="N5" i="1" a="1"/>
  <c r="N5" i="1" s="1"/>
  <c r="O65" i="1" a="1"/>
  <c r="O65" i="1" s="1"/>
  <c r="P100" i="1" a="1"/>
  <c r="P100" i="1" s="1"/>
  <c r="P6" i="1" a="1"/>
  <c r="P6" i="1" s="1"/>
  <c r="P42" i="1" a="1"/>
  <c r="P42" i="1" s="1"/>
  <c r="N50" i="1" a="1"/>
  <c r="N50" i="1" s="1"/>
  <c r="O46" i="1" a="1"/>
  <c r="O46" i="1" s="1"/>
  <c r="P72" i="1" a="1"/>
  <c r="P72" i="1" s="1"/>
  <c r="P56" i="1" a="1"/>
  <c r="P56" i="1" s="1"/>
  <c r="N41" i="1" a="1"/>
  <c r="N41" i="1" s="1"/>
  <c r="O66" i="1" a="1"/>
  <c r="O66" i="1" s="1"/>
  <c r="P63" i="1" a="1"/>
  <c r="P63" i="1" s="1"/>
  <c r="O83" i="1" a="1"/>
  <c r="O83" i="1" s="1"/>
  <c r="P19" i="1" a="1"/>
  <c r="P19" i="1" s="1"/>
  <c r="O24" i="1" a="1"/>
  <c r="O24" i="1" s="1"/>
  <c r="O99" i="1" a="1"/>
  <c r="O99" i="1" s="1"/>
  <c r="N25" i="1" a="1"/>
  <c r="N25" i="1" s="1"/>
  <c r="N26" i="1" a="1"/>
  <c r="N26" i="1" s="1"/>
  <c r="O26" i="1" a="1"/>
  <c r="O26" i="1" s="1"/>
  <c r="P69" i="1" a="1"/>
  <c r="P69" i="1" s="1"/>
  <c r="N69" i="1" a="1"/>
  <c r="N69" i="1" s="1"/>
  <c r="Q97" i="1" a="1"/>
  <c r="Q97" i="1" s="1"/>
  <c r="N97" i="1" a="1"/>
  <c r="N97" i="1" s="1"/>
  <c r="O97" i="1" a="1"/>
  <c r="O97" i="1" s="1"/>
  <c r="P97" i="1" a="1"/>
  <c r="P97" i="1" s="1"/>
  <c r="P74" i="1" a="1"/>
  <c r="P74" i="1" s="1"/>
  <c r="P24" i="1" a="1"/>
  <c r="P24" i="1" s="1"/>
  <c r="N101" i="1" a="1"/>
  <c r="N101" i="1" s="1"/>
  <c r="N85" i="1" a="1"/>
  <c r="N85" i="1" s="1"/>
  <c r="O53" i="1" a="1"/>
  <c r="O53" i="1" s="1"/>
  <c r="Q8" i="1" a="1"/>
  <c r="Q8" i="1" s="1"/>
  <c r="N8" i="1" a="1"/>
  <c r="N8" i="1" s="1"/>
  <c r="O8" i="1" a="1"/>
  <c r="O8" i="1" s="1"/>
  <c r="P8" i="1" a="1"/>
  <c r="P8" i="1" s="1"/>
  <c r="P5" i="1" a="1"/>
  <c r="P5" i="1" s="1"/>
  <c r="Q65" i="1" a="1"/>
  <c r="Q65" i="1" s="1"/>
  <c r="P65" i="1" a="1"/>
  <c r="P65" i="1" s="1"/>
  <c r="N65" i="1" a="1"/>
  <c r="N65" i="1" s="1"/>
  <c r="Q33" i="1" a="1"/>
  <c r="Q33" i="1" s="1"/>
  <c r="O33" i="1" a="1"/>
  <c r="O33" i="1" s="1"/>
  <c r="N33" i="1" a="1"/>
  <c r="N33" i="1" s="1"/>
  <c r="P33" i="1" a="1"/>
  <c r="P33" i="1" s="1"/>
  <c r="Q54" i="1" a="1"/>
  <c r="Q54" i="1" s="1"/>
  <c r="N54" i="1" a="1"/>
  <c r="N54" i="1" s="1"/>
  <c r="P54" i="1" a="1"/>
  <c r="P54" i="1" s="1"/>
  <c r="Q36" i="1" a="1"/>
  <c r="Q36" i="1" s="1"/>
  <c r="P36" i="1" a="1"/>
  <c r="P36" i="1" s="1"/>
  <c r="N36" i="1" a="1"/>
  <c r="N36" i="1" s="1"/>
  <c r="O36" i="1" a="1"/>
  <c r="O36" i="1" s="1"/>
  <c r="P101" i="1" a="1"/>
  <c r="P101" i="1" s="1"/>
  <c r="O101" i="1" a="1"/>
  <c r="O101" i="1" s="1"/>
  <c r="O69" i="1" a="1"/>
  <c r="O69" i="1" s="1"/>
  <c r="P53" i="1" a="1"/>
  <c r="P53" i="1" s="1"/>
  <c r="Q46" i="1" a="1"/>
  <c r="Q46" i="1" s="1"/>
  <c r="N46" i="1" a="1"/>
  <c r="N46" i="1" s="1"/>
  <c r="P46" i="1" a="1"/>
  <c r="P46" i="1" s="1"/>
  <c r="Q94" i="1" a="1"/>
  <c r="Q94" i="1" s="1"/>
  <c r="P94" i="1" a="1"/>
  <c r="P94" i="1" s="1"/>
  <c r="O94" i="1" a="1"/>
  <c r="O94" i="1" s="1"/>
  <c r="Q62" i="1" a="1"/>
  <c r="Q62" i="1" s="1"/>
  <c r="O62" i="1" a="1"/>
  <c r="O62" i="1" s="1"/>
  <c r="P99" i="1" a="1"/>
  <c r="P99" i="1" s="1"/>
  <c r="P67" i="1" a="1"/>
  <c r="P67" i="1" s="1"/>
  <c r="O67" i="1" a="1"/>
  <c r="O67" i="1" s="1"/>
  <c r="N51" i="1" a="1"/>
  <c r="N51" i="1" s="1"/>
  <c r="P35" i="1" a="1"/>
  <c r="P35" i="1" s="1"/>
  <c r="O19" i="1" a="1"/>
  <c r="O19" i="1" s="1"/>
  <c r="O3" i="1" a="1"/>
  <c r="O3" i="1" s="1"/>
  <c r="N3" i="1" a="1"/>
  <c r="N3" i="1" s="1"/>
  <c r="Q38" i="1" a="1"/>
  <c r="Q38" i="1" s="1"/>
  <c r="O38" i="1" a="1"/>
  <c r="O38" i="1" s="1"/>
  <c r="P38" i="1" a="1"/>
  <c r="P38" i="1" s="1"/>
  <c r="N38" i="1" a="1"/>
  <c r="N38" i="1" s="1"/>
  <c r="O40" i="1" a="1"/>
  <c r="O40" i="1" s="1"/>
  <c r="N6" i="1" a="1"/>
  <c r="N6" i="1" s="1"/>
  <c r="P62" i="1" a="1"/>
  <c r="P62" i="1" s="1"/>
  <c r="O95" i="1" a="1"/>
  <c r="O95" i="1" s="1"/>
  <c r="Q98" i="1" a="1"/>
  <c r="Q98" i="1" s="1"/>
  <c r="O98" i="1" a="1"/>
  <c r="O98" i="1" s="1"/>
  <c r="N98" i="1" a="1"/>
  <c r="N98" i="1" s="1"/>
  <c r="N21" i="1" a="1"/>
  <c r="N21" i="1" s="1"/>
  <c r="Q81" i="1" a="1"/>
  <c r="Q81" i="1" s="1"/>
  <c r="N81" i="1" a="1"/>
  <c r="N81" i="1" s="1"/>
  <c r="O81" i="1" a="1"/>
  <c r="O81" i="1" s="1"/>
  <c r="P81" i="1" a="1"/>
  <c r="P81" i="1" s="1"/>
  <c r="Q17" i="1" a="1"/>
  <c r="Q17" i="1" s="1"/>
  <c r="P17" i="1" a="1"/>
  <c r="P17" i="1" s="1"/>
  <c r="O17" i="1" a="1"/>
  <c r="O17" i="1" s="1"/>
  <c r="N17" i="1" a="1"/>
  <c r="N17" i="1" s="1"/>
  <c r="P58" i="1" a="1"/>
  <c r="P58" i="1" s="1"/>
  <c r="O58" i="1" a="1"/>
  <c r="O58" i="1" s="1"/>
  <c r="N58" i="1" a="1"/>
  <c r="N58" i="1" s="1"/>
  <c r="Q10" i="1" a="1"/>
  <c r="Q10" i="1" s="1"/>
  <c r="P10" i="1" a="1"/>
  <c r="P10" i="1" s="1"/>
  <c r="O10" i="1" a="1"/>
  <c r="O10" i="1" s="1"/>
  <c r="N10" i="1" a="1"/>
  <c r="N10" i="1" s="1"/>
  <c r="Q86" i="1" a="1"/>
  <c r="Q86" i="1" s="1"/>
  <c r="P86" i="1" a="1"/>
  <c r="P86" i="1" s="1"/>
  <c r="N86" i="1" a="1"/>
  <c r="N86" i="1" s="1"/>
  <c r="O86" i="1" a="1"/>
  <c r="O86" i="1" s="1"/>
  <c r="Q32" i="1" a="1"/>
  <c r="Q32" i="1" s="1"/>
  <c r="P32" i="1" a="1"/>
  <c r="P32" i="1" s="1"/>
  <c r="N32" i="1" a="1"/>
  <c r="N32" i="1" s="1"/>
  <c r="O32" i="1" a="1"/>
  <c r="O32" i="1" s="1"/>
  <c r="Q88" i="1" a="1"/>
  <c r="Q88" i="1" s="1"/>
  <c r="O88" i="1" a="1"/>
  <c r="O88" i="1" s="1"/>
  <c r="N88" i="1" a="1"/>
  <c r="N88" i="1" s="1"/>
  <c r="P88" i="1" a="1"/>
  <c r="P88" i="1" s="1"/>
  <c r="Q48" i="1" a="1"/>
  <c r="Q48" i="1" s="1"/>
  <c r="P48" i="1" a="1"/>
  <c r="P48" i="1" s="1"/>
  <c r="Q22" i="1" a="1"/>
  <c r="Q22" i="1" s="1"/>
  <c r="N22" i="1" a="1"/>
  <c r="N22" i="1" s="1"/>
  <c r="O22" i="1" a="1"/>
  <c r="O22" i="1" s="1"/>
  <c r="Q91" i="1" a="1"/>
  <c r="Q91" i="1" s="1"/>
  <c r="N91" i="1" a="1"/>
  <c r="N91" i="1" s="1"/>
  <c r="P91" i="1" a="1"/>
  <c r="P91" i="1" s="1"/>
  <c r="O91" i="1" a="1"/>
  <c r="O91" i="1" s="1"/>
  <c r="Q75" i="1" a="1"/>
  <c r="Q75" i="1" s="1"/>
  <c r="P75" i="1" a="1"/>
  <c r="P75" i="1" s="1"/>
  <c r="O75" i="1" a="1"/>
  <c r="O75" i="1" s="1"/>
  <c r="N75" i="1" a="1"/>
  <c r="N75" i="1" s="1"/>
  <c r="Q59" i="1" a="1"/>
  <c r="Q59" i="1" s="1"/>
  <c r="N59" i="1" a="1"/>
  <c r="N59" i="1" s="1"/>
  <c r="P59" i="1" a="1"/>
  <c r="P59" i="1" s="1"/>
  <c r="O59" i="1" a="1"/>
  <c r="O59" i="1" s="1"/>
  <c r="Q43" i="1" a="1"/>
  <c r="Q43" i="1" s="1"/>
  <c r="P43" i="1" a="1"/>
  <c r="P43" i="1" s="1"/>
  <c r="O43" i="1" a="1"/>
  <c r="O43" i="1" s="1"/>
  <c r="N43" i="1" a="1"/>
  <c r="N43" i="1" s="1"/>
  <c r="Q27" i="1" a="1"/>
  <c r="Q27" i="1" s="1"/>
  <c r="N27" i="1" a="1"/>
  <c r="N27" i="1" s="1"/>
  <c r="O27" i="1" a="1"/>
  <c r="O27" i="1" s="1"/>
  <c r="P27" i="1" a="1"/>
  <c r="P27" i="1" s="1"/>
  <c r="Q11" i="1" a="1"/>
  <c r="Q11" i="1" s="1"/>
  <c r="N11" i="1" a="1"/>
  <c r="N11" i="1" s="1"/>
  <c r="P11" i="1" a="1"/>
  <c r="P11" i="1" s="1"/>
  <c r="Q100" i="1" a="1"/>
  <c r="Q100" i="1" s="1"/>
  <c r="O100" i="1" a="1"/>
  <c r="O100" i="1" s="1"/>
  <c r="N100" i="1" a="1"/>
  <c r="N100" i="1" s="1"/>
  <c r="N62" i="1" a="1"/>
  <c r="N62" i="1" s="1"/>
  <c r="O90" i="1" a="1"/>
  <c r="O90" i="1" s="1"/>
  <c r="Q52" i="1" a="1"/>
  <c r="Q52" i="1" s="1"/>
  <c r="N52" i="1" a="1"/>
  <c r="N52" i="1" s="1"/>
  <c r="O52" i="1" a="1"/>
  <c r="O52" i="1" s="1"/>
  <c r="P52" i="1" a="1"/>
  <c r="P52" i="1" s="1"/>
  <c r="Q68" i="1" a="1"/>
  <c r="Q68" i="1" s="1"/>
  <c r="P68" i="1" a="1"/>
  <c r="P68" i="1" s="1"/>
  <c r="N68" i="1" a="1"/>
  <c r="N68" i="1" s="1"/>
  <c r="O68" i="1" a="1"/>
  <c r="O68" i="1" s="1"/>
  <c r="P37" i="1" a="1"/>
  <c r="P37" i="1" s="1"/>
  <c r="O37" i="1" a="1"/>
  <c r="O37" i="1" s="1"/>
  <c r="N37" i="1" a="1"/>
  <c r="N37" i="1" s="1"/>
  <c r="Q44" i="1" a="1"/>
  <c r="Q44" i="1" s="1"/>
  <c r="O44" i="1" a="1"/>
  <c r="O44" i="1" s="1"/>
  <c r="P44" i="1" a="1"/>
  <c r="P44" i="1" s="1"/>
  <c r="N44" i="1" a="1"/>
  <c r="N44" i="1" s="1"/>
  <c r="Q49" i="1" a="1"/>
  <c r="Q49" i="1" s="1"/>
  <c r="O49" i="1" a="1"/>
  <c r="O49" i="1" s="1"/>
  <c r="P49" i="1" a="1"/>
  <c r="P49" i="1" s="1"/>
  <c r="N49" i="1" a="1"/>
  <c r="N49" i="1" s="1"/>
  <c r="O54" i="1" a="1"/>
  <c r="O54" i="1" s="1"/>
  <c r="Q78" i="1" a="1"/>
  <c r="Q78" i="1" s="1"/>
  <c r="P78" i="1" a="1"/>
  <c r="P78" i="1" s="1"/>
  <c r="O78" i="1" a="1"/>
  <c r="O78" i="1" s="1"/>
  <c r="N84" i="1" a="1"/>
  <c r="N84" i="1" s="1"/>
  <c r="N70" i="1" a="1"/>
  <c r="N70" i="1" s="1"/>
  <c r="N48" i="1" a="1"/>
  <c r="N48" i="1" s="1"/>
  <c r="P22" i="1" a="1"/>
  <c r="P22" i="1" s="1"/>
  <c r="Q95" i="1" a="1"/>
  <c r="Q95" i="1" s="1"/>
  <c r="Q79" i="1" a="1"/>
  <c r="Q79" i="1" s="1"/>
  <c r="Q63" i="1" a="1"/>
  <c r="Q63" i="1" s="1"/>
  <c r="Q47" i="1" a="1"/>
  <c r="Q47" i="1" s="1"/>
  <c r="Q31" i="1" a="1"/>
  <c r="Q31" i="1" s="1"/>
  <c r="Q15" i="1" a="1"/>
  <c r="Q15" i="1" s="1"/>
  <c r="N16" i="1" a="1"/>
  <c r="N16" i="1" s="1"/>
  <c r="Q16" i="1" a="1"/>
  <c r="Q16" i="1" s="1"/>
  <c r="N15" i="1" a="1"/>
  <c r="N15" i="1" s="1"/>
  <c r="O82" i="1" a="1"/>
  <c r="O82" i="1" s="1"/>
  <c r="O63" i="1" a="1"/>
  <c r="O63" i="1" s="1"/>
  <c r="O31" i="1" a="1"/>
  <c r="O31" i="1" s="1"/>
  <c r="Q90" i="1" a="1"/>
  <c r="Q90" i="1" s="1"/>
  <c r="Q40" i="1" a="1"/>
  <c r="Q40" i="1" s="1"/>
  <c r="Q92" i="1" a="1"/>
  <c r="Q92" i="1" s="1"/>
  <c r="Q56" i="1" a="1"/>
  <c r="Q56" i="1" s="1"/>
  <c r="Q96" i="1" a="1"/>
  <c r="Q96" i="1" s="1"/>
  <c r="Q30" i="1" a="1"/>
  <c r="Q30" i="1" s="1"/>
  <c r="Q93" i="1" a="1"/>
  <c r="Q93" i="1" s="1"/>
  <c r="Q77" i="1" a="1"/>
  <c r="Q77" i="1" s="1"/>
  <c r="Q61" i="1" a="1"/>
  <c r="Q61" i="1" s="1"/>
  <c r="Q45" i="1" a="1"/>
  <c r="Q45" i="1" s="1"/>
  <c r="Q29" i="1" a="1"/>
  <c r="Q29" i="1" s="1"/>
  <c r="Q13" i="1" a="1"/>
  <c r="Q13" i="1" s="1"/>
  <c r="Q2" i="1" a="1"/>
  <c r="Q2" i="1" s="1"/>
  <c r="N14" i="1" a="1"/>
  <c r="N14" i="1" s="1"/>
  <c r="N47" i="1" a="1"/>
  <c r="N47" i="1" s="1"/>
  <c r="N45" i="1" a="1"/>
  <c r="N45" i="1" s="1"/>
  <c r="N7" i="1" a="1"/>
  <c r="N7" i="1" s="1"/>
  <c r="N90" i="1" a="1"/>
  <c r="N90" i="1" s="1"/>
  <c r="N74" i="1" a="1"/>
  <c r="N74" i="1" s="1"/>
  <c r="N40" i="1" a="1"/>
  <c r="N40" i="1" s="1"/>
  <c r="O96" i="1" a="1"/>
  <c r="O96" i="1" s="1"/>
  <c r="O74" i="1" a="1"/>
  <c r="O74" i="1" s="1"/>
  <c r="O4" i="1" a="1"/>
  <c r="O4" i="1" s="1"/>
  <c r="O60" i="1" a="1"/>
  <c r="O60" i="1" s="1"/>
  <c r="P50" i="1" a="1"/>
  <c r="P50" i="1" s="1"/>
  <c r="P15" i="1" a="1"/>
  <c r="P15" i="1" s="1"/>
  <c r="P77" i="1" a="1"/>
  <c r="P77" i="1" s="1"/>
  <c r="P45" i="1" a="1"/>
  <c r="P45" i="1" s="1"/>
  <c r="P16" i="1" a="1"/>
  <c r="P16" i="1" s="1"/>
  <c r="P47" i="1" a="1"/>
  <c r="P47" i="1" s="1"/>
  <c r="P92" i="1" a="1"/>
  <c r="P92" i="1" s="1"/>
  <c r="P83" i="1" a="1"/>
  <c r="P83" i="1" s="1"/>
  <c r="O47" i="1" a="1"/>
  <c r="O47" i="1" s="1"/>
  <c r="Q82" i="1" a="1"/>
  <c r="Q82" i="1" s="1"/>
  <c r="Q42" i="1" a="1"/>
  <c r="Q42" i="1" s="1"/>
  <c r="Q89" i="1" a="1"/>
  <c r="Q89" i="1" s="1"/>
  <c r="Q41" i="1" a="1"/>
  <c r="Q41" i="1" s="1"/>
  <c r="O13" i="1" a="1"/>
  <c r="O13" i="1" s="1"/>
  <c r="P84" i="1" a="1"/>
  <c r="P84" i="1" s="1"/>
  <c r="Q74" i="1" a="1"/>
  <c r="Q74" i="1" s="1"/>
  <c r="Q20" i="1" a="1"/>
  <c r="Q20" i="1" s="1"/>
  <c r="Q80" i="1" a="1"/>
  <c r="Q80" i="1" s="1"/>
  <c r="Q34" i="1" a="1"/>
  <c r="Q34" i="1" s="1"/>
  <c r="Q64" i="1" a="1"/>
  <c r="Q64" i="1" s="1"/>
  <c r="Q4" i="1" a="1"/>
  <c r="Q4" i="1" s="1"/>
  <c r="Q87" i="1" a="1"/>
  <c r="Q87" i="1" s="1"/>
  <c r="Q71" i="1" a="1"/>
  <c r="Q71" i="1" s="1"/>
  <c r="Q55" i="1" a="1"/>
  <c r="Q55" i="1" s="1"/>
  <c r="Q39" i="1" a="1"/>
  <c r="Q39" i="1" s="1"/>
  <c r="Q23" i="1" a="1"/>
  <c r="Q23" i="1" s="1"/>
  <c r="Q7" i="1" a="1"/>
  <c r="Q7" i="1" s="1"/>
  <c r="P7" i="1" a="1"/>
  <c r="P7" i="1" s="1"/>
  <c r="N29" i="1" a="1"/>
  <c r="N29" i="1" s="1"/>
  <c r="N72" i="1" a="1"/>
  <c r="N72" i="1" s="1"/>
  <c r="N42" i="1" a="1"/>
  <c r="N42" i="1" s="1"/>
  <c r="N60" i="1" a="1"/>
  <c r="N60" i="1" s="1"/>
  <c r="N28" i="1" a="1"/>
  <c r="N28" i="1" s="1"/>
  <c r="O15" i="1" a="1"/>
  <c r="O15" i="1" s="1"/>
  <c r="O93" i="1" a="1"/>
  <c r="O93" i="1" s="1"/>
  <c r="O29" i="1" a="1"/>
  <c r="O29" i="1" s="1"/>
  <c r="O23" i="1" a="1"/>
  <c r="O23" i="1" s="1"/>
  <c r="O89" i="1" a="1"/>
  <c r="O89" i="1" s="1"/>
  <c r="P26" i="1" a="1"/>
  <c r="P26" i="1" s="1"/>
  <c r="P87" i="1" a="1"/>
  <c r="P87" i="1" s="1"/>
  <c r="P80" i="1" a="1"/>
  <c r="P80" i="1" s="1"/>
  <c r="Q84" i="1" a="1"/>
  <c r="Q84" i="1" s="1"/>
  <c r="Q14" i="1" a="1"/>
  <c r="Q14" i="1" s="1"/>
  <c r="Q73" i="1" a="1"/>
  <c r="Q73" i="1" s="1"/>
  <c r="Q25" i="1" a="1"/>
  <c r="Q25" i="1" s="1"/>
  <c r="Q66" i="1" a="1"/>
  <c r="Q66" i="1" s="1"/>
  <c r="P12" i="1" a="1"/>
  <c r="P12" i="1" s="1"/>
  <c r="Q12" i="1" a="1"/>
  <c r="Q12" i="1" s="1"/>
  <c r="Q76" i="1" a="1"/>
  <c r="Q76" i="1" s="1"/>
  <c r="Q24" i="1" a="1"/>
  <c r="Q24" i="1" s="1"/>
  <c r="Q58" i="1" a="1"/>
  <c r="Q58" i="1" s="1"/>
  <c r="Q101" i="1" a="1"/>
  <c r="Q101" i="1" s="1"/>
  <c r="Q85" i="1" a="1"/>
  <c r="Q85" i="1" s="1"/>
  <c r="Q69" i="1" a="1"/>
  <c r="Q69" i="1" s="1"/>
  <c r="Q53" i="1" a="1"/>
  <c r="Q53" i="1" s="1"/>
  <c r="Q37" i="1" a="1"/>
  <c r="Q37" i="1" s="1"/>
  <c r="Q21" i="1" a="1"/>
  <c r="Q21" i="1" s="1"/>
  <c r="Q5" i="1" a="1"/>
  <c r="Q5" i="1" s="1"/>
  <c r="N61" i="1" a="1"/>
  <c r="N61" i="1" s="1"/>
  <c r="N31" i="1" a="1"/>
  <c r="N31" i="1" s="1"/>
  <c r="N83" i="1" a="1"/>
  <c r="N83" i="1" s="1"/>
  <c r="N63" i="1" a="1"/>
  <c r="N63" i="1" s="1"/>
  <c r="N23" i="1" a="1"/>
  <c r="N23" i="1" s="1"/>
  <c r="N82" i="1" a="1"/>
  <c r="N82" i="1" s="1"/>
  <c r="N56" i="1" a="1"/>
  <c r="N56" i="1" s="1"/>
  <c r="N24" i="1" a="1"/>
  <c r="N24" i="1" s="1"/>
  <c r="O64" i="1" a="1"/>
  <c r="O64" i="1" s="1"/>
  <c r="O85" i="1" a="1"/>
  <c r="O85" i="1" s="1"/>
  <c r="O21" i="1" a="1"/>
  <c r="O21" i="1" s="1"/>
  <c r="O5" i="1" a="1"/>
  <c r="O5" i="1" s="1"/>
  <c r="O42" i="1" a="1"/>
  <c r="O42" i="1" s="1"/>
  <c r="O87" i="1" a="1"/>
  <c r="O87" i="1" s="1"/>
  <c r="O92" i="1" a="1"/>
  <c r="O92" i="1" s="1"/>
  <c r="P93" i="1" a="1"/>
  <c r="P93" i="1" s="1"/>
  <c r="P61" i="1" a="1"/>
  <c r="P61" i="1" s="1"/>
  <c r="P29" i="1" a="1"/>
  <c r="P29" i="1" s="1"/>
  <c r="P40" i="1" a="1"/>
  <c r="P40" i="1" s="1"/>
  <c r="P79" i="1" a="1"/>
  <c r="P79" i="1" s="1"/>
  <c r="P76" i="1" a="1"/>
  <c r="P76" i="1" s="1"/>
  <c r="P14" i="1" a="1"/>
  <c r="P14" i="1" s="1"/>
  <c r="P13" i="1" a="1"/>
  <c r="P13" i="1" s="1"/>
  <c r="Q70" i="1" a="1"/>
  <c r="Q70" i="1" s="1"/>
  <c r="Q57" i="1" a="1"/>
  <c r="Q57" i="1" s="1"/>
  <c r="Q9" i="1" a="1"/>
  <c r="Q9" i="1" s="1"/>
  <c r="Q72" i="1" a="1"/>
  <c r="Q72" i="1" s="1"/>
  <c r="Q18" i="1" a="1"/>
  <c r="Q18" i="1" s="1"/>
  <c r="Q50" i="1" a="1"/>
  <c r="Q50" i="1" s="1"/>
  <c r="Q99" i="1" a="1"/>
  <c r="Q99" i="1" s="1"/>
  <c r="Q83" i="1" a="1"/>
  <c r="Q83" i="1" s="1"/>
  <c r="Q67" i="1" a="1"/>
  <c r="Q67" i="1" s="1"/>
  <c r="Q51" i="1" a="1"/>
  <c r="Q51" i="1" s="1"/>
  <c r="Q35" i="1" a="1"/>
  <c r="Q35" i="1" s="1"/>
  <c r="Q19" i="1" a="1"/>
  <c r="Q19" i="1" s="1"/>
  <c r="Q3" i="1" a="1"/>
  <c r="Q3" i="1" s="1"/>
  <c r="Q28" i="1" a="1"/>
  <c r="Q28" i="1" s="1"/>
  <c r="Q6" i="1" a="1"/>
  <c r="Q6" i="1" s="1"/>
  <c r="N57" i="1" a="1"/>
  <c r="N57" i="1" s="1"/>
  <c r="N19" i="1" a="1"/>
  <c r="N19" i="1" s="1"/>
  <c r="N66" i="1" a="1"/>
  <c r="N66" i="1" s="1"/>
  <c r="N34" i="1" a="1"/>
  <c r="N34" i="1" s="1"/>
  <c r="N96" i="1" a="1"/>
  <c r="N96" i="1" s="1"/>
  <c r="N80" i="1" a="1"/>
  <c r="N80" i="1" s="1"/>
  <c r="N20" i="1" a="1"/>
  <c r="N20" i="1" s="1"/>
  <c r="O35" i="1" a="1"/>
  <c r="O35" i="1" s="1"/>
  <c r="O56" i="1" a="1"/>
  <c r="O56" i="1" s="1"/>
  <c r="O77" i="1" a="1"/>
  <c r="O77" i="1" s="1"/>
  <c r="O2" i="1" a="1"/>
  <c r="O2" i="1" s="1"/>
  <c r="O34" i="1" a="1"/>
  <c r="O34" i="1" s="1"/>
  <c r="O79" i="1" a="1"/>
  <c r="O79" i="1" s="1"/>
  <c r="O51" i="1" a="1"/>
  <c r="O51" i="1" s="1"/>
  <c r="O84" i="1" a="1"/>
  <c r="O84" i="1" s="1"/>
  <c r="O20" i="1" a="1"/>
  <c r="O20" i="1" s="1"/>
  <c r="O73" i="1" a="1"/>
  <c r="O73" i="1" s="1"/>
  <c r="O70" i="1" a="1"/>
  <c r="O70" i="1" s="1"/>
  <c r="P70" i="1" a="1"/>
  <c r="P70" i="1" s="1"/>
  <c r="P30" i="1" a="1"/>
  <c r="P30" i="1" s="1"/>
  <c r="P89" i="1" a="1"/>
  <c r="P89" i="1" s="1"/>
  <c r="P57" i="1" a="1"/>
  <c r="P57" i="1" s="1"/>
  <c r="P25" i="1" a="1"/>
  <c r="P25" i="1" s="1"/>
  <c r="P71" i="1" a="1"/>
  <c r="P71" i="1" s="1"/>
  <c r="P3" i="1" a="1"/>
  <c r="P3" i="1" s="1"/>
  <c r="H103" i="1"/>
  <c r="J103" i="1"/>
  <c r="I103" i="1"/>
  <c r="K103" i="1"/>
  <c r="V17" i="1"/>
  <c r="V18" i="1" s="1"/>
  <c r="V19" i="1" s="1"/>
  <c r="U20" i="1"/>
  <c r="T48" i="1" l="1"/>
  <c r="V45" i="1"/>
  <c r="V46" i="1"/>
  <c r="W40" i="1"/>
  <c r="U40" i="1"/>
  <c r="U41" i="1"/>
  <c r="V39" i="1"/>
  <c r="U38" i="1"/>
  <c r="T41" i="1"/>
  <c r="T46" i="1"/>
  <c r="V48" i="1"/>
  <c r="T40" i="1"/>
  <c r="U39" i="1"/>
  <c r="W48" i="1"/>
  <c r="W46" i="1"/>
  <c r="W41" i="1"/>
  <c r="W47" i="1"/>
  <c r="W45" i="1"/>
  <c r="V38" i="1"/>
  <c r="T45" i="1"/>
  <c r="T39" i="1"/>
  <c r="V40" i="1"/>
  <c r="W38" i="1"/>
  <c r="V41" i="1"/>
  <c r="V47" i="1"/>
  <c r="T47" i="1"/>
  <c r="U47" i="1"/>
  <c r="U48" i="1"/>
  <c r="U46" i="1"/>
  <c r="U45" i="1"/>
  <c r="T38" i="1"/>
  <c r="W39" i="1"/>
  <c r="U50" i="1" l="1"/>
  <c r="V50" i="1"/>
  <c r="Y48" i="1"/>
  <c r="Y46" i="1"/>
  <c r="Y45" i="1"/>
  <c r="T50" i="1"/>
  <c r="W50" i="1"/>
  <c r="Y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<sst xmlns="http://schemas.openxmlformats.org/spreadsheetml/2006/main" count="388" uniqueCount="153">
  <si>
    <t>estudante</t>
  </si>
  <si>
    <t>finanças</t>
  </si>
  <si>
    <t>custos</t>
  </si>
  <si>
    <t>marketing</t>
  </si>
  <si>
    <t>atuária</t>
  </si>
  <si>
    <t>Gabriela</t>
  </si>
  <si>
    <t>Luiz Felipe</t>
  </si>
  <si>
    <t>Patrícia</t>
  </si>
  <si>
    <t>Gustavo</t>
  </si>
  <si>
    <t>Letícia</t>
  </si>
  <si>
    <t>Ovídio</t>
  </si>
  <si>
    <t>Leonor</t>
  </si>
  <si>
    <t>Dalila</t>
  </si>
  <si>
    <t>Antônio</t>
  </si>
  <si>
    <t>Júlia</t>
  </si>
  <si>
    <t>Roberto</t>
  </si>
  <si>
    <t>Renata</t>
  </si>
  <si>
    <t>Guilherme</t>
  </si>
  <si>
    <t>Rodrigo</t>
  </si>
  <si>
    <t>Giulia</t>
  </si>
  <si>
    <t>Felipe</t>
  </si>
  <si>
    <t>Karina</t>
  </si>
  <si>
    <t>Pietro</t>
  </si>
  <si>
    <t>Cecília</t>
  </si>
  <si>
    <t>Gisele</t>
  </si>
  <si>
    <t>Elaine</t>
  </si>
  <si>
    <t>Kamal</t>
  </si>
  <si>
    <t>Rodolfo</t>
  </si>
  <si>
    <t>Pilar</t>
  </si>
  <si>
    <t>Vivian</t>
  </si>
  <si>
    <t>Danielle</t>
  </si>
  <si>
    <t>Juliana</t>
  </si>
  <si>
    <t>Adriano</t>
  </si>
  <si>
    <t>Adelino</t>
  </si>
  <si>
    <t>Carolina</t>
  </si>
  <si>
    <t>Cristina</t>
  </si>
  <si>
    <t>Eduardo</t>
  </si>
  <si>
    <t>Zenilda</t>
  </si>
  <si>
    <t>Cintia</t>
  </si>
  <si>
    <t>Raimundo</t>
  </si>
  <si>
    <t>Luciana</t>
  </si>
  <si>
    <t>Emerson</t>
  </si>
  <si>
    <t>Raquel</t>
  </si>
  <si>
    <t>Anna Luiza</t>
  </si>
  <si>
    <t>Claudio</t>
  </si>
  <si>
    <t>Moara</t>
  </si>
  <si>
    <t>Fernanda</t>
  </si>
  <si>
    <t>Edson</t>
  </si>
  <si>
    <t>Nuno</t>
  </si>
  <si>
    <t>Bráulio</t>
  </si>
  <si>
    <t>Marcelo</t>
  </si>
  <si>
    <t>Lucia</t>
  </si>
  <si>
    <t>Camilo</t>
  </si>
  <si>
    <t>Filomena</t>
  </si>
  <si>
    <t>Lídia</t>
  </si>
  <si>
    <t>Gilmar</t>
  </si>
  <si>
    <t>Itamar</t>
  </si>
  <si>
    <t>Tatiana</t>
  </si>
  <si>
    <t>Alessandra</t>
  </si>
  <si>
    <t>Ester</t>
  </si>
  <si>
    <t>Marcela</t>
  </si>
  <si>
    <t>Viviane</t>
  </si>
  <si>
    <t>Bianca</t>
  </si>
  <si>
    <t>Angélica</t>
  </si>
  <si>
    <t>Frederico</t>
  </si>
  <si>
    <t>Franklin</t>
  </si>
  <si>
    <t>Inácio</t>
  </si>
  <si>
    <t>Lilian</t>
  </si>
  <si>
    <t>Lucio</t>
  </si>
  <si>
    <t>Soraya</t>
  </si>
  <si>
    <t>Amanda</t>
  </si>
  <si>
    <t>Cristiane</t>
  </si>
  <si>
    <t>Cida</t>
  </si>
  <si>
    <t>Zilda</t>
  </si>
  <si>
    <t>Ana Lúcia</t>
  </si>
  <si>
    <t>Robson</t>
  </si>
  <si>
    <t>Renato</t>
  </si>
  <si>
    <t>Marina</t>
  </si>
  <si>
    <t>Flavia</t>
  </si>
  <si>
    <t>Adriana</t>
  </si>
  <si>
    <t>Alexandre</t>
  </si>
  <si>
    <t>Cleber</t>
  </si>
  <si>
    <t>Paola</t>
  </si>
  <si>
    <t>Ana Paula</t>
  </si>
  <si>
    <t>Andréa</t>
  </si>
  <si>
    <t>Shirley</t>
  </si>
  <si>
    <t>Edinalva</t>
  </si>
  <si>
    <t>Ernani</t>
  </si>
  <si>
    <t>Afonso</t>
  </si>
  <si>
    <t>Reinaldo</t>
  </si>
  <si>
    <t>César</t>
  </si>
  <si>
    <t>Bruna</t>
  </si>
  <si>
    <t>Márcia</t>
  </si>
  <si>
    <t>Fabiana</t>
  </si>
  <si>
    <t>Rebeca</t>
  </si>
  <si>
    <t>Sandra</t>
  </si>
  <si>
    <t>Geovani</t>
  </si>
  <si>
    <t>Rita</t>
  </si>
  <si>
    <t>Giovanna</t>
  </si>
  <si>
    <t>Jaqueline</t>
  </si>
  <si>
    <t>Sheila</t>
  </si>
  <si>
    <t>Pedro</t>
  </si>
  <si>
    <t>Horácio</t>
  </si>
  <si>
    <t>Leandro</t>
  </si>
  <si>
    <t>Estela</t>
  </si>
  <si>
    <t>Qui² Bartlett</t>
  </si>
  <si>
    <t>Graus Lib.</t>
  </si>
  <si>
    <t>p-valor</t>
  </si>
  <si>
    <t>Adequação Global da Análise Fatorial</t>
  </si>
  <si>
    <t>Determinação dos Autovalores (Eigenvalues)</t>
  </si>
  <si>
    <t>Total</t>
  </si>
  <si>
    <t>Autovalor</t>
  </si>
  <si>
    <t>% Variância</t>
  </si>
  <si>
    <t>% Variância Ac.</t>
  </si>
  <si>
    <t>Autovetor 1</t>
  </si>
  <si>
    <t>Autovetor 2</t>
  </si>
  <si>
    <t>Autovetor 3</t>
  </si>
  <si>
    <t>Autovetor 4</t>
  </si>
  <si>
    <t>Score Fatorial 1</t>
  </si>
  <si>
    <t>Score Fatorial 2</t>
  </si>
  <si>
    <t>Score Fatorial 3</t>
  </si>
  <si>
    <t>Score Fatorial 4</t>
  </si>
  <si>
    <t>Média</t>
  </si>
  <si>
    <t>Desvio Pad.</t>
  </si>
  <si>
    <t>Zfinanças</t>
  </si>
  <si>
    <t>Zcustos</t>
  </si>
  <si>
    <t>Zmarketing</t>
  </si>
  <si>
    <t>Zatuária</t>
  </si>
  <si>
    <t>Fator 1</t>
  </si>
  <si>
    <t>Fator 2</t>
  </si>
  <si>
    <t>Fator 3</t>
  </si>
  <si>
    <t>Fator 4</t>
  </si>
  <si>
    <t>Cargas Fatoriais</t>
  </si>
  <si>
    <t>Ortogonais</t>
  </si>
  <si>
    <t>Scores</t>
  </si>
  <si>
    <t>Autovetores</t>
  </si>
  <si>
    <t>v1</t>
  </si>
  <si>
    <t>v2</t>
  </si>
  <si>
    <t>v3</t>
  </si>
  <si>
    <t>v4</t>
  </si>
  <si>
    <t>Autovalores</t>
  </si>
  <si>
    <t>Comunalidades</t>
  </si>
  <si>
    <t>(*) Nota: o polinômio característico é:                                                                    Solução obtida no Python.</t>
  </si>
  <si>
    <t>Fávero, Luiz Paulo; Belfiore, Patrícia. (2024). Manual de análise de dados: estatística e machine learning com Excel®, SPSS®, Stata®, R® e Python®. 2 ed. Rio de Janeiro: LTC.</t>
  </si>
  <si>
    <r>
      <t>det(</t>
    </r>
    <r>
      <rPr>
        <b/>
        <sz val="11"/>
        <color theme="1"/>
        <rFont val="Calibri"/>
        <family val="2"/>
      </rPr>
      <t>ρ - λ . I</t>
    </r>
    <r>
      <rPr>
        <b/>
        <sz val="9.9"/>
        <color theme="1"/>
        <rFont val="Calibri"/>
        <family val="2"/>
      </rPr>
      <t>) = 0</t>
    </r>
  </si>
  <si>
    <t>1 - λ</t>
  </si>
  <si>
    <t>λ 1</t>
  </si>
  <si>
    <t>λ 2</t>
  </si>
  <si>
    <t>λ 3</t>
  </si>
  <si>
    <t>λ 4</t>
  </si>
  <si>
    <t>(*) Nota: os autovetores resultam do sistema de equações (slide 13). Solução obtida no Python.</t>
  </si>
  <si>
    <t>Correlações (ρ)</t>
  </si>
  <si>
    <t>(*) Nota: os autovalores são as raízes da equação característica da matriz. Obtidos no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</si>
</sst>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%"/>
    <numFmt numFmtId="168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.9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1" fillId="0" borderId="0" xfId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65" fontId="1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166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6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Loading Plot</c:v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54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54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'Dados Notas Fatorial'!$T$45:$T$48</c:f>
              <c:numCache>
                <c:formatCode>0.000</c:formatCode>
                <c:ptCount val="4"/>
                <c:pt idx="0">
                  <c:v>0.89539787754720745</c:v>
                </c:pt>
                <c:pt idx="1">
                  <c:v>0.93403313279169653</c:v>
                </c:pt>
                <c:pt idx="2">
                  <c:v>-4.2466483708816748E-2</c:v>
                </c:pt>
                <c:pt idx="3">
                  <c:v>0.91769720289190637</c:v>
                </c:pt>
              </c:numCache>
            </c:numRef>
          </c:xVal>
          <c:yVal>
            <c:numRef>
              <c:f>'Dados Notas Fatorial'!$U$45:$U$48</c:f>
              <c:numCache>
                <c:formatCode>0.000</c:formatCode>
                <c:ptCount val="4"/>
                <c:pt idx="0">
                  <c:v>7.0856954711777387E-3</c:v>
                </c:pt>
                <c:pt idx="1">
                  <c:v>4.8580644299276964E-2</c:v>
                </c:pt>
                <c:pt idx="2">
                  <c:v>0.99893259553854863</c:v>
                </c:pt>
                <c:pt idx="3">
                  <c:v>-1.013322464798991E-2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3-4C8E-85F7-498473506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29999"/>
        <c:axId val="1896632079"/>
      </c:scatterChart>
      <c:valAx>
        <c:axId val="1896629999"/>
        <c:scaling>
          <c:orientation val="minMax"/>
          <c:max val="1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1">
                    <a:solidFill>
                      <a:schemeClr val="tx1"/>
                    </a:solidFill>
                  </a:rPr>
                  <a:t>Fator</a:t>
                </a:r>
                <a:r>
                  <a:rPr lang="pt-BR" sz="1400" b="1" baseline="0">
                    <a:solidFill>
                      <a:schemeClr val="tx1"/>
                    </a:solidFill>
                  </a:rPr>
                  <a:t> 1</a:t>
                </a:r>
                <a:endParaRPr lang="pt-BR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7795375134602641"/>
              <c:y val="0.93663475459192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632079"/>
        <c:crosses val="autoZero"/>
        <c:crossBetween val="midCat"/>
        <c:majorUnit val="0.5"/>
        <c:minorUnit val="0.5"/>
      </c:valAx>
      <c:valAx>
        <c:axId val="1896632079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1">
                    <a:solidFill>
                      <a:schemeClr val="tx1"/>
                    </a:solidFill>
                  </a:rPr>
                  <a:t>Fator 2</a:t>
                </a:r>
              </a:p>
            </c:rich>
          </c:tx>
          <c:layout>
            <c:manualLayout>
              <c:xMode val="edge"/>
              <c:yMode val="edge"/>
              <c:x val="1.0084032278960858E-2"/>
              <c:y val="0.450479641171568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629999"/>
        <c:crosses val="autoZero"/>
        <c:crossBetween val="midCat"/>
        <c:majorUnit val="0.5"/>
        <c:minorUnit val="0.5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dk1">
              <a:lumMod val="25000"/>
              <a:lumOff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169333</xdr:colOff>
      <xdr:row>51</xdr:row>
      <xdr:rowOff>9523</xdr:rowOff>
    </xdr:from>
    <xdr:to>
      <xdr:col>26</xdr:col>
      <xdr:colOff>0</xdr:colOff>
      <xdr:row>78</xdr:row>
      <xdr:rowOff>74083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63EAC4-BF04-4E52-7B97-EFBC17BEF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20</xdr:col>
      <xdr:colOff>201083</xdr:colOff>
      <xdr:row>56</xdr:row>
      <xdr:rowOff>42333</xdr:rowOff>
    </xdr:from>
    <xdr:ext cx="792653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94921AA-2AC2-551D-882A-9CCE0856ECAD}"/>
            </a:ext>
          </a:extLst>
        </xdr:cNvPr>
        <xdr:cNvSpPr txBox="1"/>
      </xdr:nvSpPr>
      <xdr:spPr>
        <a:xfrm>
          <a:off x="2730500" y="10710333"/>
          <a:ext cx="792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1"/>
            <a:t>Marketing</a:t>
          </a:r>
        </a:p>
      </xdr:txBody>
    </xdr:sp>
    <xdr:clientData/>
  </xdr:oneCellAnchor>
  <xdr:twoCellAnchor>
    <xdr:from>
      <xdr:col>20</xdr:col>
      <xdr:colOff>677334</xdr:colOff>
      <xdr:row>53</xdr:row>
      <xdr:rowOff>179917</xdr:rowOff>
    </xdr:from>
    <xdr:to>
      <xdr:col>21</xdr:col>
      <xdr:colOff>687917</xdr:colOff>
      <xdr:row>56</xdr:row>
      <xdr:rowOff>84667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162BC052-84D0-8036-857C-C09ED6D14095}"/>
            </a:ext>
          </a:extLst>
        </xdr:cNvPr>
        <xdr:cNvCxnSpPr/>
      </xdr:nvCxnSpPr>
      <xdr:spPr>
        <a:xfrm flipH="1">
          <a:off x="3206751" y="10276417"/>
          <a:ext cx="1005416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624417</xdr:colOff>
      <xdr:row>62</xdr:row>
      <xdr:rowOff>148167</xdr:rowOff>
    </xdr:from>
    <xdr:to>
      <xdr:col>27</xdr:col>
      <xdr:colOff>0</xdr:colOff>
      <xdr:row>64</xdr:row>
      <xdr:rowOff>74083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7C824C70-F0F8-4958-9039-ED1DFCB62700}"/>
            </a:ext>
          </a:extLst>
        </xdr:cNvPr>
        <xdr:cNvCxnSpPr/>
      </xdr:nvCxnSpPr>
      <xdr:spPr>
        <a:xfrm flipV="1">
          <a:off x="7715250" y="11959167"/>
          <a:ext cx="984250" cy="3069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565149</xdr:colOff>
      <xdr:row>62</xdr:row>
      <xdr:rowOff>25399</xdr:rowOff>
    </xdr:from>
    <xdr:ext cx="554767" cy="256737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89C484F3-56A5-4CF5-8820-7160F0AF8D74}"/>
            </a:ext>
          </a:extLst>
        </xdr:cNvPr>
        <xdr:cNvSpPr txBox="1"/>
      </xdr:nvSpPr>
      <xdr:spPr>
        <a:xfrm>
          <a:off x="8650816" y="11836399"/>
          <a:ext cx="554767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1"/>
            <a:t>Custos</a:t>
          </a:r>
        </a:p>
      </xdr:txBody>
    </xdr:sp>
    <xdr:clientData/>
  </xdr:oneCellAnchor>
  <xdr:twoCellAnchor>
    <xdr:from>
      <xdr:col>25</xdr:col>
      <xdr:colOff>575734</xdr:colOff>
      <xdr:row>65</xdr:row>
      <xdr:rowOff>88899</xdr:rowOff>
    </xdr:from>
    <xdr:to>
      <xdr:col>26</xdr:col>
      <xdr:colOff>317500</xdr:colOff>
      <xdr:row>68</xdr:row>
      <xdr:rowOff>169333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33D5B956-7E95-4D5F-804D-196E1AF572DE}"/>
            </a:ext>
          </a:extLst>
        </xdr:cNvPr>
        <xdr:cNvCxnSpPr/>
      </xdr:nvCxnSpPr>
      <xdr:spPr>
        <a:xfrm>
          <a:off x="7666567" y="12471399"/>
          <a:ext cx="736600" cy="6519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251882</xdr:colOff>
      <xdr:row>68</xdr:row>
      <xdr:rowOff>71966</xdr:rowOff>
    </xdr:from>
    <xdr:ext cx="599138" cy="256737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F8C63E8F-3BD3-4E75-B192-350853625746}"/>
            </a:ext>
          </a:extLst>
        </xdr:cNvPr>
        <xdr:cNvSpPr txBox="1"/>
      </xdr:nvSpPr>
      <xdr:spPr>
        <a:xfrm>
          <a:off x="8337549" y="13025966"/>
          <a:ext cx="59913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1"/>
            <a:t>Atuária</a:t>
          </a:r>
        </a:p>
      </xdr:txBody>
    </xdr:sp>
    <xdr:clientData/>
  </xdr:oneCellAnchor>
  <xdr:twoCellAnchor>
    <xdr:from>
      <xdr:col>25</xdr:col>
      <xdr:colOff>476250</xdr:colOff>
      <xdr:row>59</xdr:row>
      <xdr:rowOff>84667</xdr:rowOff>
    </xdr:from>
    <xdr:to>
      <xdr:col>26</xdr:col>
      <xdr:colOff>264583</xdr:colOff>
      <xdr:row>64</xdr:row>
      <xdr:rowOff>127000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A5B1700C-24ED-4EFA-B2B8-983EDE380C52}"/>
            </a:ext>
          </a:extLst>
        </xdr:cNvPr>
        <xdr:cNvCxnSpPr/>
      </xdr:nvCxnSpPr>
      <xdr:spPr>
        <a:xfrm flipV="1">
          <a:off x="7567083" y="11324167"/>
          <a:ext cx="783167" cy="9948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220133</xdr:colOff>
      <xdr:row>58</xdr:row>
      <xdr:rowOff>124882</xdr:rowOff>
    </xdr:from>
    <xdr:ext cx="667170" cy="256737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904BE33-F965-4AF4-9DD3-911C80E47578}"/>
            </a:ext>
          </a:extLst>
        </xdr:cNvPr>
        <xdr:cNvSpPr txBox="1"/>
      </xdr:nvSpPr>
      <xdr:spPr>
        <a:xfrm>
          <a:off x="8305800" y="11173882"/>
          <a:ext cx="66717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1"/>
            <a:t>Finanças</a:t>
          </a:r>
        </a:p>
      </xdr:txBody>
    </xdr:sp>
    <xdr:clientData/>
  </xdr:oneCellAnchor>
  <xdr:oneCellAnchor>
    <xdr:from>
      <xdr:col>20</xdr:col>
      <xdr:colOff>61382</xdr:colOff>
      <xdr:row>12</xdr:row>
      <xdr:rowOff>24342</xdr:rowOff>
    </xdr:from>
    <xdr:ext cx="2099357" cy="1633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4257CF6D-CFC8-FD0F-46A9-64CAB980DD39}"/>
                </a:ext>
              </a:extLst>
            </xdr:cNvPr>
            <xdr:cNvSpPr txBox="1"/>
          </xdr:nvSpPr>
          <xdr:spPr>
            <a:xfrm>
              <a:off x="2590799" y="2310342"/>
              <a:ext cx="2099357" cy="1633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pt-BR" sz="10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l-GR" sz="1000" b="1" i="1">
                          <a:latin typeface="Cambria Math" panose="02040503050406030204" pitchFamily="18" charset="0"/>
                        </a:rPr>
                        <m:t>𝝀</m:t>
                      </m:r>
                    </m:e>
                    <m:sup>
                      <m:r>
                        <a:rPr lang="pt-BR" sz="1000" b="1" i="1">
                          <a:latin typeface="Cambria Math" panose="02040503050406030204" pitchFamily="18" charset="0"/>
                        </a:rPr>
                        <m:t>𝟒</m:t>
                      </m:r>
                    </m:sup>
                  </m:sSup>
                  <m:r>
                    <a:rPr lang="pt-BR" sz="1000" b="1" i="1">
                      <a:latin typeface="Cambria Math" panose="02040503050406030204" pitchFamily="18" charset="0"/>
                    </a:rPr>
                    <m:t>−</m:t>
                  </m:r>
                  <m:sSup>
                    <m:sSupPr>
                      <m:ctrlPr>
                        <a:rPr lang="pt-BR" sz="10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t-BR" sz="1000" b="1" i="1">
                          <a:latin typeface="Cambria Math" panose="02040503050406030204" pitchFamily="18" charset="0"/>
                        </a:rPr>
                        <m:t>𝟒</m:t>
                      </m:r>
                      <m:r>
                        <a:rPr lang="el-GR" sz="1000" b="1" i="1">
                          <a:latin typeface="Cambria Math" panose="02040503050406030204" pitchFamily="18" charset="0"/>
                        </a:rPr>
                        <m:t>𝝀</m:t>
                      </m:r>
                    </m:e>
                    <m:sup>
                      <m:r>
                        <a:rPr lang="pt-BR" sz="1000" b="1" i="1">
                          <a:latin typeface="Cambria Math" panose="02040503050406030204" pitchFamily="18" charset="0"/>
                        </a:rPr>
                        <m:t>𝟑</m:t>
                      </m:r>
                    </m:sup>
                  </m:sSup>
                  <m:r>
                    <a:rPr lang="pt-BR" sz="1000" b="1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pt-BR" sz="10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t-BR" sz="1000" b="1" i="1">
                          <a:latin typeface="Cambria Math" panose="02040503050406030204" pitchFamily="18" charset="0"/>
                        </a:rPr>
                        <m:t>𝟒</m:t>
                      </m:r>
                      <m:r>
                        <a:rPr lang="pt-BR" sz="1000" b="1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pt-BR" sz="1000" b="1" i="1">
                          <a:latin typeface="Cambria Math" panose="02040503050406030204" pitchFamily="18" charset="0"/>
                        </a:rPr>
                        <m:t>𝟐𝟔</m:t>
                      </m:r>
                      <m:r>
                        <a:rPr lang="el-GR" sz="1000" b="1" i="1">
                          <a:latin typeface="Cambria Math" panose="02040503050406030204" pitchFamily="18" charset="0"/>
                        </a:rPr>
                        <m:t>𝝀</m:t>
                      </m:r>
                    </m:e>
                    <m:sup>
                      <m:r>
                        <a:rPr lang="pt-BR" sz="10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  <m:r>
                    <a:rPr lang="pt-BR" sz="10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𝟏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,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𝟒𝟎</m:t>
                  </m:r>
                  <m:r>
                    <a:rPr lang="el-GR" sz="1000" b="1" i="1">
                      <a:latin typeface="Cambria Math" panose="02040503050406030204" pitchFamily="18" charset="0"/>
                    </a:rPr>
                    <m:t>𝝀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+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,</m:t>
                  </m:r>
                  <m:r>
                    <a:rPr lang="pt-BR" sz="1000" b="1" i="1">
                      <a:latin typeface="Cambria Math" panose="02040503050406030204" pitchFamily="18" charset="0"/>
                    </a:rPr>
                    <m:t>𝟏𝟑𝟕</m:t>
                  </m:r>
                </m:oMath>
              </a14:m>
              <a:r>
                <a:rPr lang="pt-BR" sz="1000" b="1">
                  <a:latin typeface="+mn-lt"/>
                </a:rPr>
                <a:t> </a:t>
              </a:r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4257CF6D-CFC8-FD0F-46A9-64CAB980DD39}"/>
                </a:ext>
              </a:extLst>
            </xdr:cNvPr>
            <xdr:cNvSpPr txBox="1"/>
          </xdr:nvSpPr>
          <xdr:spPr>
            <a:xfrm>
              <a:off x="2590799" y="2310342"/>
              <a:ext cx="2099357" cy="1633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000" b="1" i="0">
                  <a:latin typeface="+mn-lt"/>
                </a:rPr>
                <a:t>𝝀</a:t>
              </a:r>
              <a:r>
                <a:rPr lang="pt-BR" sz="1000" b="1" i="0">
                  <a:latin typeface="+mn-lt"/>
                </a:rPr>
                <a:t>^𝟒−〖𝟒</a:t>
              </a:r>
              <a:r>
                <a:rPr lang="el-GR" sz="1000" b="1" i="0">
                  <a:latin typeface="+mn-lt"/>
                </a:rPr>
                <a:t>𝝀</a:t>
              </a:r>
              <a:r>
                <a:rPr lang="pt-BR" sz="1000" b="1" i="0">
                  <a:latin typeface="+mn-lt"/>
                </a:rPr>
                <a:t>〗^𝟑+〖𝟒,𝟐𝟔</a:t>
              </a:r>
              <a:r>
                <a:rPr lang="el-GR" sz="1000" b="1" i="0">
                  <a:latin typeface="+mn-lt"/>
                </a:rPr>
                <a:t>𝝀</a:t>
              </a:r>
              <a:r>
                <a:rPr lang="pt-BR" sz="1000" b="1" i="0">
                  <a:latin typeface="+mn-lt"/>
                </a:rPr>
                <a:t>〗^𝟐−𝟏,𝟒𝟎</a:t>
              </a:r>
              <a:r>
                <a:rPr lang="el-GR" sz="1000" b="1" i="0">
                  <a:latin typeface="+mn-lt"/>
                </a:rPr>
                <a:t>𝝀</a:t>
              </a:r>
              <a:r>
                <a:rPr lang="pt-BR" sz="1000" b="1" i="0">
                  <a:latin typeface="+mn-lt"/>
                </a:rPr>
                <a:t>+𝟎,𝟏𝟑𝟕</a:t>
              </a:r>
              <a:r>
                <a:rPr lang="pt-BR" sz="1000" b="1">
                  <a:latin typeface="+mn-lt"/>
                </a:rPr>
                <a:t> 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"/>
  <sheetViews>
    <sheetView showGridLines="0" tabSelected="1" topLeftCell="F1" zoomScale="90" zoomScaleNormal="90" workbookViewId="0">
      <selection activeCell="S1" sqref="S1"/>
    </sheetView>
  </sheetViews>
  <sheetFormatPr defaultRowHeight="15" outlineLevelCol="1" x14ac:dyDescent="0.25"/>
  <cols>
    <col min="1" max="5" width="12.7109375" style="2" hidden="1" customWidth="1" outlineLevel="1"/>
    <col min="6" max="6" width="2.7109375" style="2" customWidth="1" collapsed="1"/>
    <col min="7" max="11" width="12.7109375" style="2" hidden="1" customWidth="1" outlineLevel="1"/>
    <col min="12" max="12" width="2.7109375" style="2" customWidth="1" collapsed="1"/>
    <col min="13" max="17" width="12.7109375" style="2" hidden="1" customWidth="1" outlineLevel="1"/>
    <col min="18" max="18" width="2.7109375" style="2" customWidth="1" collapsed="1"/>
    <col min="19" max="23" width="14.85546875" style="2" customWidth="1"/>
    <col min="24" max="24" width="8.7109375" style="2" customWidth="1"/>
    <col min="25" max="26" width="14.85546875" style="2" customWidth="1"/>
    <col min="27" max="16384" width="9.140625" style="2"/>
  </cols>
  <sheetData>
    <row r="1" spans="1:35" s="1" customFormat="1" ht="15" customHeight="1" x14ac:dyDescent="0.25">
      <c r="A1" s="10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G1" s="10" t="s">
        <v>0</v>
      </c>
      <c r="H1" s="29" t="s">
        <v>124</v>
      </c>
      <c r="I1" s="29" t="s">
        <v>125</v>
      </c>
      <c r="J1" s="29" t="s">
        <v>126</v>
      </c>
      <c r="K1" s="30" t="s">
        <v>127</v>
      </c>
      <c r="M1" s="10" t="s">
        <v>0</v>
      </c>
      <c r="N1" s="29" t="s">
        <v>128</v>
      </c>
      <c r="O1" s="29" t="s">
        <v>129</v>
      </c>
      <c r="P1" s="29" t="s">
        <v>130</v>
      </c>
      <c r="Q1" s="30" t="s">
        <v>131</v>
      </c>
      <c r="S1" s="33" t="s">
        <v>151</v>
      </c>
      <c r="T1" s="5" t="s">
        <v>1</v>
      </c>
      <c r="U1" s="5" t="s">
        <v>2</v>
      </c>
      <c r="V1" s="5" t="s">
        <v>3</v>
      </c>
      <c r="W1" s="5" t="s">
        <v>4</v>
      </c>
      <c r="Y1" s="47" t="s">
        <v>108</v>
      </c>
      <c r="Z1" s="47"/>
      <c r="AD1" s="50" t="s">
        <v>143</v>
      </c>
      <c r="AE1" s="51"/>
      <c r="AF1" s="51"/>
      <c r="AG1" s="51"/>
      <c r="AH1" s="51"/>
      <c r="AI1" s="52"/>
    </row>
    <row r="2" spans="1:35" ht="15" customHeight="1" x14ac:dyDescent="0.25">
      <c r="A2" s="31" t="s">
        <v>5</v>
      </c>
      <c r="B2" s="21">
        <v>5.8</v>
      </c>
      <c r="C2" s="21">
        <v>4</v>
      </c>
      <c r="D2" s="21">
        <v>1</v>
      </c>
      <c r="E2" s="22">
        <v>6</v>
      </c>
      <c r="G2" s="31" t="s">
        <v>5</v>
      </c>
      <c r="H2" s="25">
        <f>(B2-B$103)/B$104</f>
        <v>-1.0942694636756954E-2</v>
      </c>
      <c r="I2" s="25">
        <f t="shared" ref="I2:I65" si="0">(C2-C$103)/C$104</f>
        <v>-0.29340897957597073</v>
      </c>
      <c r="J2" s="25">
        <f t="shared" ref="J2:J65" si="1">(D2-D$103)/D$104</f>
        <v>-1.6587459746170077</v>
      </c>
      <c r="K2" s="26">
        <f t="shared" ref="K2:K65" si="2">(E2-E$103)/E$104</f>
        <v>0.27434724261096399</v>
      </c>
      <c r="M2" s="31" t="s">
        <v>5</v>
      </c>
      <c r="N2" s="38" cm="1">
        <f t="array" ref="N2">MMULT($H2:$K2,T$31:T$34)</f>
        <v>1.5232440309796744E-2</v>
      </c>
      <c r="O2" s="39" cm="1">
        <f t="array" ref="O2">MMULT($H2:$K2,U$31:U$34)</f>
        <v>-1.6734521425767823</v>
      </c>
      <c r="P2" s="39" cm="1">
        <f t="array" ref="P2">MMULT($H2:$K2,V$31:V$34)</f>
        <v>-0.17639544730099244</v>
      </c>
      <c r="Q2" s="40" cm="1">
        <f t="array" ref="Q2">MMULT($H2:$K2,W$31:W$34)</f>
        <v>0.74319821476103565</v>
      </c>
      <c r="S2" s="5" t="s">
        <v>1</v>
      </c>
      <c r="T2" s="8">
        <f>CORREL($B$2:$B$101,B2:B101)</f>
        <v>1</v>
      </c>
      <c r="U2" s="8">
        <f>CORREL($B$2:$B$101,C2:C101)</f>
        <v>0.75555035329526532</v>
      </c>
      <c r="V2" s="8">
        <f>CORREL($B$2:$B$101,D2:D101)</f>
        <v>-2.9530501281765799E-2</v>
      </c>
      <c r="W2" s="8">
        <f>CORREL($B$2:$B$101,E2:E101)</f>
        <v>0.71087119056149428</v>
      </c>
      <c r="Y2" s="47"/>
      <c r="Z2" s="47"/>
      <c r="AD2" s="53"/>
      <c r="AE2" s="54"/>
      <c r="AF2" s="54"/>
      <c r="AG2" s="54"/>
      <c r="AH2" s="54"/>
      <c r="AI2" s="55"/>
    </row>
    <row r="3" spans="1:35" ht="15" customHeight="1" x14ac:dyDescent="0.25">
      <c r="A3" s="31" t="s">
        <v>6</v>
      </c>
      <c r="B3" s="21">
        <v>3.1</v>
      </c>
      <c r="C3" s="21">
        <v>3</v>
      </c>
      <c r="D3" s="21">
        <v>10</v>
      </c>
      <c r="E3" s="22">
        <v>2</v>
      </c>
      <c r="G3" s="31" t="s">
        <v>6</v>
      </c>
      <c r="H3" s="25">
        <f t="shared" ref="H3:H66" si="3">(B3-B$103)/B$104</f>
        <v>-0.87992138637922568</v>
      </c>
      <c r="I3" s="25">
        <f t="shared" si="0"/>
        <v>-0.70262652431233275</v>
      </c>
      <c r="J3" s="25">
        <f t="shared" si="1"/>
        <v>1.539350377472338</v>
      </c>
      <c r="K3" s="26">
        <f t="shared" si="2"/>
        <v>-1.325345134129351</v>
      </c>
      <c r="M3" s="31" t="s">
        <v>6</v>
      </c>
      <c r="N3" s="41" cm="1">
        <f t="array" ref="N3">MMULT($H3:$K3,T$31:T$34)</f>
        <v>-1.0824679858085053</v>
      </c>
      <c r="O3" s="42" cm="1">
        <f t="array" ref="O3">MMULT($H3:$K3,U$31:U$34)</f>
        <v>1.5101955208265236</v>
      </c>
      <c r="P3" s="42" cm="1">
        <f t="array" ref="P3">MMULT($H3:$K3,V$31:V$34)</f>
        <v>0.34445189155777767</v>
      </c>
      <c r="Q3" s="43" cm="1">
        <f t="array" ref="Q3">MMULT($H3:$K3,W$31:W$34)</f>
        <v>-0.82987153784756207</v>
      </c>
      <c r="S3" s="5" t="s">
        <v>2</v>
      </c>
      <c r="T3" s="8">
        <f>CORREL($C$2:$C$101,B2:B101)</f>
        <v>0.75555035329526532</v>
      </c>
      <c r="U3" s="8">
        <f>CORREL($C$2:$C$101,C2:C101)</f>
        <v>1</v>
      </c>
      <c r="V3" s="8">
        <f>CORREL($C$2:$C$101,D2:D101)</f>
        <v>2.8564932710958787E-3</v>
      </c>
      <c r="W3" s="8">
        <f>CORREL($C$2:$C$101,E2:E101)</f>
        <v>0.8080921395143047</v>
      </c>
      <c r="Y3" s="6" t="s">
        <v>105</v>
      </c>
      <c r="Z3" s="7">
        <f>-((100-1)-(((2*4)+5)/6))*LN(MDETERM(T2:W5))</f>
        <v>191.87909970380883</v>
      </c>
      <c r="AD3" s="53"/>
      <c r="AE3" s="54"/>
      <c r="AF3" s="54"/>
      <c r="AG3" s="54"/>
      <c r="AH3" s="54"/>
      <c r="AI3" s="55"/>
    </row>
    <row r="4" spans="1:35" ht="15" customHeight="1" x14ac:dyDescent="0.25">
      <c r="A4" s="31" t="s">
        <v>7</v>
      </c>
      <c r="B4" s="21">
        <v>3.1</v>
      </c>
      <c r="C4" s="21">
        <v>4</v>
      </c>
      <c r="D4" s="21">
        <v>4</v>
      </c>
      <c r="E4" s="22">
        <v>4</v>
      </c>
      <c r="G4" s="31" t="s">
        <v>7</v>
      </c>
      <c r="H4" s="25">
        <f t="shared" si="3"/>
        <v>-0.87992138637922568</v>
      </c>
      <c r="I4" s="25">
        <f t="shared" si="0"/>
        <v>-0.29340897957597073</v>
      </c>
      <c r="J4" s="25">
        <f t="shared" si="1"/>
        <v>-0.59271385725389247</v>
      </c>
      <c r="K4" s="26">
        <f t="shared" si="2"/>
        <v>-0.52549894575919343</v>
      </c>
      <c r="M4" s="31" t="s">
        <v>7</v>
      </c>
      <c r="N4" s="41" cm="1">
        <f t="array" ref="N4">MMULT($H4:$K4,T$31:T$34)</f>
        <v>-0.60323063021402767</v>
      </c>
      <c r="O4" s="42" cm="1">
        <f t="array" ref="O4">MMULT($H4:$K4,U$31:U$34)</f>
        <v>-0.60701474845402736</v>
      </c>
      <c r="P4" s="42" cm="1">
        <f t="array" ref="P4">MMULT($H4:$K4,V$31:V$34)</f>
        <v>-0.63524701269914541</v>
      </c>
      <c r="Q4" s="43" cm="1">
        <f t="array" ref="Q4">MMULT($H4:$K4,W$31:W$34)</f>
        <v>-0.67099558859530894</v>
      </c>
      <c r="S4" s="5" t="s">
        <v>3</v>
      </c>
      <c r="T4" s="8">
        <f>CORREL($D$2:$D$101,B2:B101)</f>
        <v>-2.9530501281765799E-2</v>
      </c>
      <c r="U4" s="8">
        <f>CORREL($D$2:$D$101,C2:C101)</f>
        <v>2.8564932710958787E-3</v>
      </c>
      <c r="V4" s="8">
        <f>CORREL($D$2:$D$101,D2:D101)</f>
        <v>1.0000000000000002</v>
      </c>
      <c r="W4" s="8">
        <f>CORREL($D$2:$D$101,E2:E101)</f>
        <v>-4.4345799474115391E-2</v>
      </c>
      <c r="Y4" s="6" t="s">
        <v>106</v>
      </c>
      <c r="Z4" s="3">
        <f>(4*(4-1))/2</f>
        <v>6</v>
      </c>
      <c r="AD4" s="53"/>
      <c r="AE4" s="54"/>
      <c r="AF4" s="54"/>
      <c r="AG4" s="54"/>
      <c r="AH4" s="54"/>
      <c r="AI4" s="55"/>
    </row>
    <row r="5" spans="1:35" ht="15" customHeight="1" x14ac:dyDescent="0.25">
      <c r="A5" s="31" t="s">
        <v>8</v>
      </c>
      <c r="B5" s="21">
        <v>10</v>
      </c>
      <c r="C5" s="21">
        <v>8</v>
      </c>
      <c r="D5" s="21">
        <v>8</v>
      </c>
      <c r="E5" s="22">
        <v>8</v>
      </c>
      <c r="G5" s="31" t="s">
        <v>8</v>
      </c>
      <c r="H5" s="25">
        <f t="shared" si="3"/>
        <v>1.3408019369626389</v>
      </c>
      <c r="I5" s="25">
        <f t="shared" si="0"/>
        <v>1.3434611993694774</v>
      </c>
      <c r="J5" s="25">
        <f t="shared" si="1"/>
        <v>0.82866229923026125</v>
      </c>
      <c r="K5" s="26">
        <f t="shared" si="2"/>
        <v>1.0741934309811214</v>
      </c>
      <c r="M5" s="31" t="s">
        <v>8</v>
      </c>
      <c r="N5" s="41" cm="1">
        <f t="array" ref="N5">MMULT($H5:$K5,T$31:T$34)</f>
        <v>1.3525851301201874</v>
      </c>
      <c r="O5" s="42" cm="1">
        <f t="array" ref="O5">MMULT($H5:$K5,U$31:U$34)</f>
        <v>0.89132128011613809</v>
      </c>
      <c r="P5" s="42" cm="1">
        <f t="array" ref="P5">MMULT($H5:$K5,V$31:V$34)</f>
        <v>0.32778612602708979</v>
      </c>
      <c r="Q5" s="43" cm="1">
        <f t="array" ref="Q5">MMULT($H5:$K5,W$31:W$34)</f>
        <v>-0.22843192630310405</v>
      </c>
      <c r="S5" s="5" t="s">
        <v>4</v>
      </c>
      <c r="T5" s="8">
        <f>CORREL($E$2:$E$101,B2:B101)</f>
        <v>0.71087119056149428</v>
      </c>
      <c r="U5" s="8">
        <f>CORREL($E$2:$E$101,C2:C101)</f>
        <v>0.8080921395143047</v>
      </c>
      <c r="V5" s="8">
        <f>CORREL($E$2:$E$101,D2:D101)</f>
        <v>-4.4345799474115391E-2</v>
      </c>
      <c r="W5" s="8">
        <f>CORREL($E$2:$E$101,E2:E101)</f>
        <v>1.0000000000000002</v>
      </c>
      <c r="Y5" s="6" t="s">
        <v>107</v>
      </c>
      <c r="Z5" s="4">
        <f>_xlfn.CHISQ.DIST.RT(Z3,Z4)</f>
        <v>1.0139139940945031E-38</v>
      </c>
      <c r="AD5" s="56"/>
      <c r="AE5" s="57"/>
      <c r="AF5" s="57"/>
      <c r="AG5" s="57"/>
      <c r="AH5" s="57"/>
      <c r="AI5" s="58"/>
    </row>
    <row r="6" spans="1:35" ht="15" customHeight="1" x14ac:dyDescent="0.25">
      <c r="A6" s="31" t="s">
        <v>9</v>
      </c>
      <c r="B6" s="21">
        <v>3.4</v>
      </c>
      <c r="C6" s="21">
        <v>2</v>
      </c>
      <c r="D6" s="21">
        <v>3.2</v>
      </c>
      <c r="E6" s="22">
        <v>3.2</v>
      </c>
      <c r="G6" s="31" t="s">
        <v>9</v>
      </c>
      <c r="H6" s="25">
        <f t="shared" si="3"/>
        <v>-0.78336819840784033</v>
      </c>
      <c r="I6" s="25">
        <f t="shared" si="0"/>
        <v>-1.1118440690486948</v>
      </c>
      <c r="J6" s="25">
        <f t="shared" si="1"/>
        <v>-0.87698908855072311</v>
      </c>
      <c r="K6" s="26">
        <f t="shared" si="2"/>
        <v>-0.84543742110725639</v>
      </c>
      <c r="M6" s="31" t="s">
        <v>9</v>
      </c>
      <c r="N6" s="41" cm="1">
        <f t="array" ref="N6">MMULT($H6:$K6,T$31:T$34)</f>
        <v>-0.98427818271002421</v>
      </c>
      <c r="O6" s="42" cm="1">
        <f t="array" ref="O6">MMULT($H6:$K6,U$31:U$34)</f>
        <v>-0.9266992021034185</v>
      </c>
      <c r="P6" s="42" cm="1">
        <f t="array" ref="P6">MMULT($H6:$K6,V$31:V$34)</f>
        <v>0.16320299288564444</v>
      </c>
      <c r="Q6" s="43" cm="1">
        <f t="array" ref="Q6">MMULT($H6:$K6,W$31:W$34)</f>
        <v>0.38418837803555017</v>
      </c>
      <c r="AD6" s="34"/>
      <c r="AE6" s="34"/>
      <c r="AF6" s="34"/>
      <c r="AG6" s="34"/>
      <c r="AH6" s="34"/>
      <c r="AI6" s="34"/>
    </row>
    <row r="7" spans="1:35" x14ac:dyDescent="0.25">
      <c r="A7" s="31" t="s">
        <v>10</v>
      </c>
      <c r="B7" s="21">
        <v>10</v>
      </c>
      <c r="C7" s="21">
        <v>10</v>
      </c>
      <c r="D7" s="21">
        <v>1</v>
      </c>
      <c r="E7" s="22">
        <v>10</v>
      </c>
      <c r="G7" s="31" t="s">
        <v>10</v>
      </c>
      <c r="H7" s="25">
        <f t="shared" si="3"/>
        <v>1.3408019369626389</v>
      </c>
      <c r="I7" s="25">
        <f t="shared" si="0"/>
        <v>2.1618962888422018</v>
      </c>
      <c r="J7" s="25">
        <f t="shared" si="1"/>
        <v>-1.6587459746170077</v>
      </c>
      <c r="K7" s="26">
        <f t="shared" si="2"/>
        <v>1.8740396193512789</v>
      </c>
      <c r="M7" s="31" t="s">
        <v>10</v>
      </c>
      <c r="N7" s="41" cm="1">
        <f t="array" ref="N7">MMULT($H7:$K7,T$31:T$34)</f>
        <v>1.9896035349461645</v>
      </c>
      <c r="O7" s="42" cm="1">
        <f t="array" ref="O7">MMULT($H7:$K7,U$31:U$34)</f>
        <v>-1.5608466233172633</v>
      </c>
      <c r="P7" s="42" cm="1">
        <f t="array" ref="P7">MMULT($H7:$K7,V$31:V$34)</f>
        <v>-0.81618476612578816</v>
      </c>
      <c r="Q7" s="43" cm="1">
        <f t="array" ref="Q7">MMULT($H7:$K7,W$31:W$34)</f>
        <v>-0.84570466889654883</v>
      </c>
    </row>
    <row r="8" spans="1:35" x14ac:dyDescent="0.25">
      <c r="A8" s="31" t="s">
        <v>11</v>
      </c>
      <c r="B8" s="21">
        <v>5</v>
      </c>
      <c r="C8" s="21">
        <v>5</v>
      </c>
      <c r="D8" s="21">
        <v>8</v>
      </c>
      <c r="E8" s="22">
        <v>5</v>
      </c>
      <c r="G8" s="31" t="s">
        <v>11</v>
      </c>
      <c r="H8" s="25">
        <f t="shared" si="3"/>
        <v>-0.26841786256045136</v>
      </c>
      <c r="I8" s="25">
        <f t="shared" si="0"/>
        <v>0.11580856516039133</v>
      </c>
      <c r="J8" s="25">
        <f t="shared" si="1"/>
        <v>0.82866229923026125</v>
      </c>
      <c r="K8" s="26">
        <f t="shared" si="2"/>
        <v>-0.12557585157411474</v>
      </c>
      <c r="M8" s="31" t="s">
        <v>11</v>
      </c>
      <c r="N8" s="41" cm="1">
        <f t="array" ref="N8">MMULT($H8:$K8,T$31:T$34)</f>
        <v>-0.1122273178096502</v>
      </c>
      <c r="O8" s="42" cm="1">
        <f t="array" ref="O8">MMULT($H8:$K8,U$31:U$34)</f>
        <v>0.83245860480919553</v>
      </c>
      <c r="P8" s="42" cm="1">
        <f t="array" ref="P8">MMULT($H8:$K8,V$31:V$34)</f>
        <v>-0.31312469644789293</v>
      </c>
      <c r="Q8" s="43" cm="1">
        <f t="array" ref="Q8">MMULT($H8:$K8,W$31:W$34)</f>
        <v>-0.42851050361627618</v>
      </c>
      <c r="T8" s="48" t="s">
        <v>109</v>
      </c>
      <c r="U8" s="48"/>
      <c r="V8" s="48"/>
      <c r="W8" s="48"/>
    </row>
    <row r="9" spans="1:35" x14ac:dyDescent="0.25">
      <c r="A9" s="31" t="s">
        <v>12</v>
      </c>
      <c r="B9" s="21">
        <v>5.4</v>
      </c>
      <c r="C9" s="21">
        <v>6</v>
      </c>
      <c r="D9" s="21">
        <v>6</v>
      </c>
      <c r="E9" s="22">
        <v>6</v>
      </c>
      <c r="G9" s="31" t="s">
        <v>12</v>
      </c>
      <c r="H9" s="25">
        <f t="shared" si="3"/>
        <v>-0.13968027859860402</v>
      </c>
      <c r="I9" s="25">
        <f t="shared" si="0"/>
        <v>0.52502610989675336</v>
      </c>
      <c r="J9" s="25">
        <f t="shared" si="1"/>
        <v>0.11797422098818439</v>
      </c>
      <c r="K9" s="26">
        <f t="shared" si="2"/>
        <v>0.27434724261096399</v>
      </c>
      <c r="M9" s="31" t="s">
        <v>12</v>
      </c>
      <c r="N9" s="41" cm="1">
        <f t="array" ref="N9">MMULT($H9:$K9,T$31:T$34)</f>
        <v>0.2430695364024959</v>
      </c>
      <c r="O9" s="42" cm="1">
        <f t="array" ref="O9">MMULT($H9:$K9,U$31:U$34)</f>
        <v>0.13953170642595936</v>
      </c>
      <c r="P9" s="42" cm="1">
        <f t="array" ref="P9">MMULT($H9:$K9,V$31:V$34)</f>
        <v>-0.69684315165327604</v>
      </c>
      <c r="Q9" s="43" cm="1">
        <f t="array" ref="Q9">MMULT($H9:$K9,W$31:W$34)</f>
        <v>-0.62389337295342617</v>
      </c>
      <c r="S9" s="49" t="s">
        <v>144</v>
      </c>
      <c r="T9" s="35" t="s">
        <v>145</v>
      </c>
      <c r="U9" s="8">
        <f>U2</f>
        <v>0.75555035329526532</v>
      </c>
      <c r="V9" s="8">
        <f>V2</f>
        <v>-2.9530501281765799E-2</v>
      </c>
      <c r="W9" s="8">
        <f>W2</f>
        <v>0.71087119056149428</v>
      </c>
    </row>
    <row r="10" spans="1:35" x14ac:dyDescent="0.25">
      <c r="A10" s="31" t="s">
        <v>13</v>
      </c>
      <c r="B10" s="21">
        <v>5.9</v>
      </c>
      <c r="C10" s="21">
        <v>4</v>
      </c>
      <c r="D10" s="21">
        <v>4</v>
      </c>
      <c r="E10" s="22">
        <v>4</v>
      </c>
      <c r="G10" s="31" t="s">
        <v>13</v>
      </c>
      <c r="H10" s="25">
        <f t="shared" si="3"/>
        <v>2.1241701353705025E-2</v>
      </c>
      <c r="I10" s="25">
        <f t="shared" si="0"/>
        <v>-0.29340897957597073</v>
      </c>
      <c r="J10" s="25">
        <f t="shared" si="1"/>
        <v>-0.59271385725389247</v>
      </c>
      <c r="K10" s="26">
        <f t="shared" si="2"/>
        <v>-0.52549894575919343</v>
      </c>
      <c r="M10" s="31" t="s">
        <v>13</v>
      </c>
      <c r="N10" s="41" cm="1">
        <f t="array" ref="N10">MMULT($H10:$K10,T$31:T$34)</f>
        <v>-0.28279445809086673</v>
      </c>
      <c r="O10" s="42" cm="1">
        <f t="array" ref="O10">MMULT($H10:$K10,U$31:U$34)</f>
        <v>-0.60063182120683711</v>
      </c>
      <c r="P10" s="42" cm="1">
        <f t="array" ref="P10">MMULT($H10:$K10,V$31:V$34)</f>
        <v>0.6871143640732853</v>
      </c>
      <c r="Q10" s="43" cm="1">
        <f t="array" ref="Q10">MMULT($H10:$K10,W$31:W$34)</f>
        <v>-0.24690608997633917</v>
      </c>
      <c r="S10" s="49"/>
      <c r="T10" s="8">
        <f>T3</f>
        <v>0.75555035329526532</v>
      </c>
      <c r="U10" s="35" t="s">
        <v>145</v>
      </c>
      <c r="V10" s="8">
        <f>V3</f>
        <v>2.8564932710958787E-3</v>
      </c>
      <c r="W10" s="8">
        <f>W3</f>
        <v>0.8080921395143047</v>
      </c>
    </row>
    <row r="11" spans="1:35" x14ac:dyDescent="0.25">
      <c r="A11" s="31" t="s">
        <v>14</v>
      </c>
      <c r="B11" s="21">
        <v>6.1</v>
      </c>
      <c r="C11" s="21">
        <v>4</v>
      </c>
      <c r="D11" s="21">
        <v>4</v>
      </c>
      <c r="E11" s="22">
        <v>4</v>
      </c>
      <c r="G11" s="31" t="s">
        <v>14</v>
      </c>
      <c r="H11" s="25">
        <f t="shared" si="3"/>
        <v>8.5610493334628418E-2</v>
      </c>
      <c r="I11" s="25">
        <f t="shared" si="0"/>
        <v>-0.29340897957597073</v>
      </c>
      <c r="J11" s="25">
        <f t="shared" si="1"/>
        <v>-0.59271385725389247</v>
      </c>
      <c r="K11" s="26">
        <f t="shared" si="2"/>
        <v>-0.52549894575919343</v>
      </c>
      <c r="M11" s="31" t="s">
        <v>14</v>
      </c>
      <c r="N11" s="41" cm="1">
        <f t="array" ref="N11">MMULT($H11:$K11,T$31:T$34)</f>
        <v>-0.25990616008206957</v>
      </c>
      <c r="O11" s="42" cm="1">
        <f t="array" ref="O11">MMULT($H11:$K11,U$31:U$34)</f>
        <v>-0.60017589783203784</v>
      </c>
      <c r="P11" s="42" cm="1">
        <f t="array" ref="P11">MMULT($H11:$K11,V$31:V$34)</f>
        <v>0.78156874812845856</v>
      </c>
      <c r="Q11" s="43" cm="1">
        <f t="array" ref="Q11">MMULT($H11:$K11,W$31:W$34)</f>
        <v>-0.21661398293212719</v>
      </c>
      <c r="S11" s="49"/>
      <c r="T11" s="8">
        <f>T4</f>
        <v>-2.9530501281765799E-2</v>
      </c>
      <c r="U11" s="8">
        <f>U4</f>
        <v>2.8564932710958787E-3</v>
      </c>
      <c r="V11" s="35" t="s">
        <v>145</v>
      </c>
      <c r="W11" s="8">
        <f>W4</f>
        <v>-4.4345799474115391E-2</v>
      </c>
    </row>
    <row r="12" spans="1:35" x14ac:dyDescent="0.25">
      <c r="A12" s="31" t="s">
        <v>15</v>
      </c>
      <c r="B12" s="21">
        <v>3.5</v>
      </c>
      <c r="C12" s="21">
        <v>2</v>
      </c>
      <c r="D12" s="21">
        <v>9.6999999999999993</v>
      </c>
      <c r="E12" s="22">
        <v>2</v>
      </c>
      <c r="G12" s="31" t="s">
        <v>15</v>
      </c>
      <c r="H12" s="25">
        <f t="shared" si="3"/>
        <v>-0.75118380241737848</v>
      </c>
      <c r="I12" s="25">
        <f t="shared" si="0"/>
        <v>-1.1118440690486948</v>
      </c>
      <c r="J12" s="25">
        <f t="shared" si="1"/>
        <v>1.4327471657360262</v>
      </c>
      <c r="K12" s="26">
        <f t="shared" si="2"/>
        <v>-1.325345134129351</v>
      </c>
      <c r="M12" s="31" t="s">
        <v>15</v>
      </c>
      <c r="N12" s="41" cm="1">
        <f t="array" ref="N12">MMULT($H12:$K12,T$31:T$34)</f>
        <v>-1.1866820206997652</v>
      </c>
      <c r="O12" s="42" cm="1">
        <f t="array" ref="O12">MMULT($H12:$K12,U$31:U$34)</f>
        <v>1.3847858226896219</v>
      </c>
      <c r="P12" s="42" cm="1">
        <f t="array" ref="P12">MMULT($H12:$K12,V$31:V$34)</f>
        <v>0.69818885450479895</v>
      </c>
      <c r="Q12" s="43" cm="1">
        <f t="array" ref="Q12">MMULT($H12:$K12,W$31:W$34)</f>
        <v>-3.8785348068435477E-2</v>
      </c>
      <c r="S12" s="49"/>
      <c r="T12" s="8">
        <f>T5</f>
        <v>0.71087119056149428</v>
      </c>
      <c r="U12" s="8">
        <f>U5</f>
        <v>0.8080921395143047</v>
      </c>
      <c r="V12" s="8">
        <f>V5</f>
        <v>-4.4345799474115391E-2</v>
      </c>
      <c r="W12" s="35" t="s">
        <v>145</v>
      </c>
    </row>
    <row r="13" spans="1:35" x14ac:dyDescent="0.25">
      <c r="A13" s="31" t="s">
        <v>16</v>
      </c>
      <c r="B13" s="21">
        <v>7.7</v>
      </c>
      <c r="C13" s="21">
        <v>10</v>
      </c>
      <c r="D13" s="21">
        <v>10</v>
      </c>
      <c r="E13" s="22">
        <v>10</v>
      </c>
      <c r="G13" s="31" t="s">
        <v>16</v>
      </c>
      <c r="H13" s="25">
        <f t="shared" si="3"/>
        <v>0.60056082918201747</v>
      </c>
      <c r="I13" s="25">
        <f t="shared" si="0"/>
        <v>2.1618962888422018</v>
      </c>
      <c r="J13" s="25">
        <f t="shared" si="1"/>
        <v>1.539350377472338</v>
      </c>
      <c r="K13" s="26">
        <f t="shared" si="2"/>
        <v>1.8740396193512789</v>
      </c>
      <c r="M13" s="31" t="s">
        <v>16</v>
      </c>
      <c r="N13" s="41" cm="1">
        <f t="array" ref="N13">MMULT($H13:$K13,T$31:T$34)</f>
        <v>1.6724544425343755</v>
      </c>
      <c r="O13" s="42" cm="1">
        <f t="array" ref="O13">MMULT($H13:$K13,U$31:U$34)</f>
        <v>1.6273814973757406</v>
      </c>
      <c r="P13" s="42" cm="1">
        <f t="array" ref="P13">MMULT($H13:$K13,V$31:V$34)</f>
        <v>-1.9062608461960342</v>
      </c>
      <c r="Q13" s="43" cm="1">
        <f t="array" ref="Q13">MMULT($H13:$K13,W$31:W$34)</f>
        <v>-0.87804817267810042</v>
      </c>
      <c r="S13" s="37" t="s">
        <v>142</v>
      </c>
      <c r="T13" s="14"/>
      <c r="U13" s="14"/>
      <c r="V13" s="14"/>
      <c r="W13" s="14"/>
    </row>
    <row r="14" spans="1:35" x14ac:dyDescent="0.25">
      <c r="A14" s="31" t="s">
        <v>17</v>
      </c>
      <c r="B14" s="21">
        <v>4.5</v>
      </c>
      <c r="C14" s="21">
        <v>10</v>
      </c>
      <c r="D14" s="21">
        <v>5</v>
      </c>
      <c r="E14" s="22">
        <v>5</v>
      </c>
      <c r="G14" s="31" t="s">
        <v>17</v>
      </c>
      <c r="H14" s="25">
        <f t="shared" si="3"/>
        <v>-0.42933984251276042</v>
      </c>
      <c r="I14" s="25">
        <f t="shared" si="0"/>
        <v>2.1618962888422018</v>
      </c>
      <c r="J14" s="25">
        <f t="shared" si="1"/>
        <v>-0.23736981813285402</v>
      </c>
      <c r="K14" s="26">
        <f t="shared" si="2"/>
        <v>-0.12557585157411474</v>
      </c>
      <c r="M14" s="31" t="s">
        <v>17</v>
      </c>
      <c r="N14" s="41" cm="1">
        <f t="array" ref="N14">MMULT($H14:$K14,T$31:T$34)</f>
        <v>0.60747192436793884</v>
      </c>
      <c r="O14" s="42" cm="1">
        <f t="array" ref="O14">MMULT($H14:$K14,U$31:U$34)</f>
        <v>-0.13380909894689999</v>
      </c>
      <c r="P14" s="42" cm="1">
        <f t="array" ref="P14">MMULT($H14:$K14,V$31:V$34)</f>
        <v>-1.3714762990513223</v>
      </c>
      <c r="Q14" s="43" cm="1">
        <f t="array" ref="Q14">MMULT($H14:$K14,W$31:W$34)</f>
        <v>-4.3147585132937634</v>
      </c>
    </row>
    <row r="15" spans="1:35" x14ac:dyDescent="0.25">
      <c r="A15" s="31" t="s">
        <v>18</v>
      </c>
      <c r="B15" s="21">
        <v>10</v>
      </c>
      <c r="C15" s="21">
        <v>4</v>
      </c>
      <c r="D15" s="21">
        <v>9</v>
      </c>
      <c r="E15" s="22">
        <v>9</v>
      </c>
      <c r="G15" s="31" t="s">
        <v>18</v>
      </c>
      <c r="H15" s="25">
        <f t="shared" si="3"/>
        <v>1.3408019369626389</v>
      </c>
      <c r="I15" s="25">
        <f t="shared" si="0"/>
        <v>-0.29340897957597073</v>
      </c>
      <c r="J15" s="25">
        <f t="shared" si="1"/>
        <v>1.1840063383512995</v>
      </c>
      <c r="K15" s="26">
        <f t="shared" si="2"/>
        <v>1.4741165251662001</v>
      </c>
      <c r="M15" s="31" t="s">
        <v>18</v>
      </c>
      <c r="N15" s="41" cm="1">
        <f t="array" ref="N15">MMULT($H15:$K15,T$31:T$34)</f>
        <v>0.88518540111515698</v>
      </c>
      <c r="O15" s="42" cm="1">
        <f t="array" ref="O15">MMULT($H15:$K15,U$31:U$34)</f>
        <v>1.1626104303024003</v>
      </c>
      <c r="P15" s="42" cm="1">
        <f t="array" ref="P15">MMULT($H15:$K15,V$31:V$34)</f>
        <v>0.57737454517685438</v>
      </c>
      <c r="Q15" s="43" cm="1">
        <f t="array" ref="Q15">MMULT($H15:$K15,W$31:W$34)</f>
        <v>3.3261187323382781</v>
      </c>
      <c r="T15" s="9" t="s">
        <v>111</v>
      </c>
      <c r="U15" s="9" t="s">
        <v>112</v>
      </c>
      <c r="V15" s="9" t="s">
        <v>113</v>
      </c>
    </row>
    <row r="16" spans="1:35" x14ac:dyDescent="0.25">
      <c r="A16" s="31" t="s">
        <v>19</v>
      </c>
      <c r="B16" s="21">
        <v>6.2</v>
      </c>
      <c r="C16" s="21">
        <v>10</v>
      </c>
      <c r="D16" s="21">
        <v>10</v>
      </c>
      <c r="E16" s="22">
        <v>10</v>
      </c>
      <c r="G16" s="31" t="s">
        <v>19</v>
      </c>
      <c r="H16" s="25">
        <f t="shared" si="3"/>
        <v>0.1177948893250904</v>
      </c>
      <c r="I16" s="25">
        <f t="shared" si="0"/>
        <v>2.1618962888422018</v>
      </c>
      <c r="J16" s="25">
        <f t="shared" si="1"/>
        <v>1.539350377472338</v>
      </c>
      <c r="K16" s="26">
        <f t="shared" si="2"/>
        <v>1.8740396193512789</v>
      </c>
      <c r="M16" s="31" t="s">
        <v>19</v>
      </c>
      <c r="N16" s="41" cm="1">
        <f t="array" ref="N16">MMULT($H16:$K16,T$31:T$34)</f>
        <v>1.5007922074683964</v>
      </c>
      <c r="O16" s="42" cm="1">
        <f t="array" ref="O16">MMULT($H16:$K16,U$31:U$34)</f>
        <v>1.6239620720647459</v>
      </c>
      <c r="P16" s="42" cm="1">
        <f t="array" ref="P16">MMULT($H16:$K16,V$31:V$34)</f>
        <v>-2.6146687266098363</v>
      </c>
      <c r="Q16" s="43" cm="1">
        <f t="array" ref="Q16">MMULT($H16:$K16,W$31:W$34)</f>
        <v>-1.1052389755096912</v>
      </c>
      <c r="S16" s="9" t="s">
        <v>146</v>
      </c>
      <c r="T16" s="4">
        <v>2.5181269999999998</v>
      </c>
      <c r="U16" s="11">
        <f>T16/$T$20</f>
        <v>0.62953175000000006</v>
      </c>
      <c r="V16" s="11">
        <f>U16</f>
        <v>0.62953175000000006</v>
      </c>
    </row>
    <row r="17" spans="1:23" x14ac:dyDescent="0.25">
      <c r="A17" s="31" t="s">
        <v>20</v>
      </c>
      <c r="B17" s="21">
        <v>8.6999999999999993</v>
      </c>
      <c r="C17" s="21">
        <v>10</v>
      </c>
      <c r="D17" s="21">
        <v>9</v>
      </c>
      <c r="E17" s="22">
        <v>9</v>
      </c>
      <c r="G17" s="31" t="s">
        <v>20</v>
      </c>
      <c r="H17" s="25">
        <f t="shared" si="3"/>
        <v>0.92240478908663526</v>
      </c>
      <c r="I17" s="25">
        <f t="shared" si="0"/>
        <v>2.1618962888422018</v>
      </c>
      <c r="J17" s="25">
        <f t="shared" si="1"/>
        <v>1.1840063383512995</v>
      </c>
      <c r="K17" s="26">
        <f t="shared" si="2"/>
        <v>1.4741165251662001</v>
      </c>
      <c r="M17" s="31" t="s">
        <v>20</v>
      </c>
      <c r="N17" s="41" cm="1">
        <f t="array" ref="N17">MMULT($H17:$K17,T$31:T$34)</f>
        <v>1.647141982573225</v>
      </c>
      <c r="O17" s="42" cm="1">
        <f t="array" ref="O17">MMULT($H17:$K17,U$31:U$34)</f>
        <v>1.2788819497845667</v>
      </c>
      <c r="P17" s="42" cm="1">
        <f t="array" ref="P17">MMULT($H17:$K17,V$31:V$34)</f>
        <v>-1.0247779875146685</v>
      </c>
      <c r="Q17" s="43" cm="1">
        <f t="array" ref="Q17">MMULT($H17:$K17,W$31:W$34)</f>
        <v>-1.3169949630386939</v>
      </c>
      <c r="S17" s="9" t="s">
        <v>147</v>
      </c>
      <c r="T17" s="4">
        <v>1.0003789999999999</v>
      </c>
      <c r="U17" s="11">
        <f>T17/$T$20</f>
        <v>0.25009475000000003</v>
      </c>
      <c r="V17" s="11">
        <f>V16+U17</f>
        <v>0.87962650000000009</v>
      </c>
    </row>
    <row r="18" spans="1:23" x14ac:dyDescent="0.25">
      <c r="A18" s="31" t="s">
        <v>21</v>
      </c>
      <c r="B18" s="21">
        <v>10</v>
      </c>
      <c r="C18" s="21">
        <v>6</v>
      </c>
      <c r="D18" s="21">
        <v>6</v>
      </c>
      <c r="E18" s="22">
        <v>6</v>
      </c>
      <c r="G18" s="31" t="s">
        <v>21</v>
      </c>
      <c r="H18" s="25">
        <f t="shared" si="3"/>
        <v>1.3408019369626389</v>
      </c>
      <c r="I18" s="25">
        <f t="shared" si="0"/>
        <v>0.52502610989675336</v>
      </c>
      <c r="J18" s="25">
        <f t="shared" si="1"/>
        <v>0.11797422098818439</v>
      </c>
      <c r="K18" s="26">
        <f t="shared" si="2"/>
        <v>0.27434724261096399</v>
      </c>
      <c r="M18" s="31" t="s">
        <v>21</v>
      </c>
      <c r="N18" s="41" cm="1">
        <f t="array" ref="N18">MMULT($H18:$K18,T$31:T$34)</f>
        <v>0.76950039060483166</v>
      </c>
      <c r="O18" s="42" cm="1">
        <f t="array" ref="O18">MMULT($H18:$K18,U$31:U$34)</f>
        <v>0.15001794404634333</v>
      </c>
      <c r="P18" s="42" cm="1">
        <f t="array" ref="P18">MMULT($H18:$K18,V$31:V$34)</f>
        <v>1.4756076816157169</v>
      </c>
      <c r="Q18" s="43" cm="1">
        <f t="array" ref="Q18">MMULT($H18:$K18,W$31:W$34)</f>
        <v>7.2825089063452753E-2</v>
      </c>
      <c r="S18" s="9" t="s">
        <v>148</v>
      </c>
      <c r="T18" s="4">
        <v>0.29761599999999999</v>
      </c>
      <c r="U18" s="11">
        <f>T18/$T$20</f>
        <v>7.4404000000000012E-2</v>
      </c>
      <c r="V18" s="11">
        <f>V17+U18</f>
        <v>0.95403050000000011</v>
      </c>
    </row>
    <row r="19" spans="1:23" x14ac:dyDescent="0.25">
      <c r="A19" s="31" t="s">
        <v>22</v>
      </c>
      <c r="B19" s="21">
        <v>10</v>
      </c>
      <c r="C19" s="21">
        <v>6</v>
      </c>
      <c r="D19" s="21">
        <v>8</v>
      </c>
      <c r="E19" s="22">
        <v>8</v>
      </c>
      <c r="G19" s="31" t="s">
        <v>22</v>
      </c>
      <c r="H19" s="25">
        <f t="shared" si="3"/>
        <v>1.3408019369626389</v>
      </c>
      <c r="I19" s="25">
        <f t="shared" si="0"/>
        <v>0.52502610989675336</v>
      </c>
      <c r="J19" s="25">
        <f t="shared" si="1"/>
        <v>0.82866229923026125</v>
      </c>
      <c r="K19" s="26">
        <f t="shared" si="2"/>
        <v>1.0741934309811214</v>
      </c>
      <c r="M19" s="31" t="s">
        <v>22</v>
      </c>
      <c r="N19" s="41" cm="1">
        <f t="array" ref="N19">MMULT($H19:$K19,T$31:T$34)</f>
        <v>1.0490082906151041</v>
      </c>
      <c r="O19" s="42" cm="1">
        <f t="array" ref="O19">MMULT($H19:$K19,U$31:U$34)</f>
        <v>0.85157627297668415</v>
      </c>
      <c r="P19" s="42" cm="1">
        <f t="array" ref="P19">MMULT($H19:$K19,V$31:V$34)</f>
        <v>0.657185804804721</v>
      </c>
      <c r="Q19" s="43" cm="1">
        <f t="array" ref="Q19">MMULT($H19:$K19,W$31:W$34)</f>
        <v>1.2536397402267603</v>
      </c>
      <c r="S19" s="9" t="s">
        <v>149</v>
      </c>
      <c r="T19" s="4">
        <v>0.18387800000000001</v>
      </c>
      <c r="U19" s="11">
        <f>T19/$T$20</f>
        <v>4.596950000000001E-2</v>
      </c>
      <c r="V19" s="11">
        <f>V18+U19</f>
        <v>1.0000000000000002</v>
      </c>
    </row>
    <row r="20" spans="1:23" x14ac:dyDescent="0.25">
      <c r="A20" s="31" t="s">
        <v>23</v>
      </c>
      <c r="B20" s="21">
        <v>9.8000000000000007</v>
      </c>
      <c r="C20" s="21">
        <v>10</v>
      </c>
      <c r="D20" s="21">
        <v>7</v>
      </c>
      <c r="E20" s="22">
        <v>10</v>
      </c>
      <c r="G20" s="31" t="s">
        <v>23</v>
      </c>
      <c r="H20" s="25">
        <f t="shared" si="3"/>
        <v>1.2764331449817157</v>
      </c>
      <c r="I20" s="25">
        <f t="shared" si="0"/>
        <v>2.1618962888422018</v>
      </c>
      <c r="J20" s="25">
        <f t="shared" si="1"/>
        <v>0.47331826010922279</v>
      </c>
      <c r="K20" s="26">
        <f t="shared" si="2"/>
        <v>1.8740396193512789</v>
      </c>
      <c r="M20" s="31" t="s">
        <v>23</v>
      </c>
      <c r="N20" s="41" cm="1">
        <f t="array" ref="N20">MMULT($H20:$K20,T$31:T$34)</f>
        <v>1.9307594600636198</v>
      </c>
      <c r="O20" s="42" cm="1">
        <f t="array" ref="O20">MMULT($H20:$K20,U$31:U$34)</f>
        <v>0.56767827964340134</v>
      </c>
      <c r="P20" s="42" cm="1">
        <f t="array" ref="P20">MMULT($H20:$K20,V$31:V$34)</f>
        <v>-0.91320625913812781</v>
      </c>
      <c r="Q20" s="43" cm="1">
        <f t="array" ref="Q20">MMULT($H20:$K20,W$31:W$34)</f>
        <v>-0.66531962445616877</v>
      </c>
      <c r="S20" s="9" t="s">
        <v>110</v>
      </c>
      <c r="T20" s="12">
        <f>+SUM(T16:T19)</f>
        <v>3.9999999999999996</v>
      </c>
      <c r="U20" s="13">
        <f>+SUM(U16:U19)</f>
        <v>1.0000000000000002</v>
      </c>
      <c r="V20" s="15"/>
    </row>
    <row r="21" spans="1:23" x14ac:dyDescent="0.25">
      <c r="A21" s="31" t="s">
        <v>24</v>
      </c>
      <c r="B21" s="21">
        <v>10</v>
      </c>
      <c r="C21" s="21">
        <v>10</v>
      </c>
      <c r="D21" s="21">
        <v>2</v>
      </c>
      <c r="E21" s="22">
        <v>9.6999999999999993</v>
      </c>
      <c r="G21" s="31" t="s">
        <v>24</v>
      </c>
      <c r="H21" s="25">
        <f t="shared" si="3"/>
        <v>1.3408019369626389</v>
      </c>
      <c r="I21" s="25">
        <f t="shared" si="0"/>
        <v>2.1618962888422018</v>
      </c>
      <c r="J21" s="25">
        <f t="shared" si="1"/>
        <v>-1.3034019354959692</v>
      </c>
      <c r="K21" s="26">
        <f t="shared" si="2"/>
        <v>1.7540626910957551</v>
      </c>
      <c r="M21" s="31" t="s">
        <v>24</v>
      </c>
      <c r="N21" s="41" cm="1">
        <f t="array" ref="N21">MMULT($H21:$K21,T$31:T$34)</f>
        <v>1.9398869316219784</v>
      </c>
      <c r="O21" s="42" cm="1">
        <f t="array" ref="O21">MMULT($H21:$K21,U$31:U$34)</f>
        <v>-1.2048011936174639</v>
      </c>
      <c r="P21" s="42" cm="1">
        <f t="array" ref="P21">MMULT($H21:$K21,V$31:V$34)</f>
        <v>-0.69397769154485789</v>
      </c>
      <c r="Q21" s="43" cm="1">
        <f t="array" ref="Q21">MMULT($H21:$K21,W$31:W$34)</f>
        <v>-0.97718015041605044</v>
      </c>
      <c r="S21" s="36" t="s">
        <v>152</v>
      </c>
    </row>
    <row r="22" spans="1:23" x14ac:dyDescent="0.25">
      <c r="A22" s="31" t="s">
        <v>25</v>
      </c>
      <c r="B22" s="21">
        <v>3.1</v>
      </c>
      <c r="C22" s="21">
        <v>2</v>
      </c>
      <c r="D22" s="21">
        <v>2</v>
      </c>
      <c r="E22" s="22">
        <v>2</v>
      </c>
      <c r="G22" s="31" t="s">
        <v>25</v>
      </c>
      <c r="H22" s="25">
        <f t="shared" si="3"/>
        <v>-0.87992138637922568</v>
      </c>
      <c r="I22" s="25">
        <f t="shared" si="0"/>
        <v>-1.1118440690486948</v>
      </c>
      <c r="J22" s="25">
        <f t="shared" si="1"/>
        <v>-1.3034019354959692</v>
      </c>
      <c r="K22" s="26">
        <f t="shared" si="2"/>
        <v>-1.325345134129351</v>
      </c>
      <c r="M22" s="31" t="s">
        <v>25</v>
      </c>
      <c r="N22" s="41" cm="1">
        <f t="array" ref="N22">MMULT($H22:$K22,T$31:T$34)</f>
        <v>-1.1863153697293836</v>
      </c>
      <c r="O22" s="42" cm="1">
        <f t="array" ref="O22">MMULT($H22:$K22,U$31:U$34)</f>
        <v>-1.3483180845238218</v>
      </c>
      <c r="P22" s="42" cm="1">
        <f t="array" ref="P22">MMULT($H22:$K22,V$31:V$34)</f>
        <v>0.5125745428894819</v>
      </c>
      <c r="Q22" s="43" cm="1">
        <f t="array" ref="Q22">MMULT($H22:$K22,W$31:W$34)</f>
        <v>-0.36973857322875281</v>
      </c>
    </row>
    <row r="23" spans="1:23" x14ac:dyDescent="0.25">
      <c r="A23" s="31" t="s">
        <v>26</v>
      </c>
      <c r="B23" s="21">
        <v>10</v>
      </c>
      <c r="C23" s="21">
        <v>9.8000000000000007</v>
      </c>
      <c r="D23" s="21">
        <v>1</v>
      </c>
      <c r="E23" s="22">
        <v>10</v>
      </c>
      <c r="G23" s="31" t="s">
        <v>26</v>
      </c>
      <c r="H23" s="25">
        <f t="shared" si="3"/>
        <v>1.3408019369626389</v>
      </c>
      <c r="I23" s="25">
        <f t="shared" si="0"/>
        <v>2.0800527798949293</v>
      </c>
      <c r="J23" s="25">
        <f t="shared" si="1"/>
        <v>-1.6587459746170077</v>
      </c>
      <c r="K23" s="26">
        <f t="shared" si="2"/>
        <v>1.8740396193512789</v>
      </c>
      <c r="M23" s="31" t="s">
        <v>26</v>
      </c>
      <c r="N23" s="41" cm="1">
        <f t="array" ref="N23">MMULT($H23:$K23,T$31:T$34)</f>
        <v>1.9592458509956563</v>
      </c>
      <c r="O23" s="42" cm="1">
        <f t="array" ref="O23">MMULT($H23:$K23,U$31:U$34)</f>
        <v>-1.5648211240312087</v>
      </c>
      <c r="P23" s="42" cm="1">
        <f t="array" ref="P23">MMULT($H23:$K23,V$31:V$34)</f>
        <v>-0.78324479824802506</v>
      </c>
      <c r="Q23" s="43" cm="1">
        <f t="array" ref="Q23">MMULT($H23:$K23,W$31:W$34)</f>
        <v>-0.69749750224356211</v>
      </c>
      <c r="S23" s="33" t="s">
        <v>135</v>
      </c>
      <c r="T23" s="16" t="s">
        <v>114</v>
      </c>
      <c r="U23" s="16" t="s">
        <v>115</v>
      </c>
      <c r="V23" s="16" t="s">
        <v>116</v>
      </c>
      <c r="W23" s="16" t="s">
        <v>117</v>
      </c>
    </row>
    <row r="24" spans="1:23" x14ac:dyDescent="0.25">
      <c r="A24" s="31" t="s">
        <v>27</v>
      </c>
      <c r="B24" s="21">
        <v>8.6999999999999993</v>
      </c>
      <c r="C24" s="21">
        <v>10</v>
      </c>
      <c r="D24" s="21">
        <v>1</v>
      </c>
      <c r="E24" s="22">
        <v>10</v>
      </c>
      <c r="G24" s="31" t="s">
        <v>27</v>
      </c>
      <c r="H24" s="25">
        <f t="shared" si="3"/>
        <v>0.92240478908663526</v>
      </c>
      <c r="I24" s="25">
        <f t="shared" si="0"/>
        <v>2.1618962888422018</v>
      </c>
      <c r="J24" s="25">
        <f t="shared" si="1"/>
        <v>-1.6587459746170077</v>
      </c>
      <c r="K24" s="26">
        <f t="shared" si="2"/>
        <v>1.8740396193512789</v>
      </c>
      <c r="M24" s="31" t="s">
        <v>27</v>
      </c>
      <c r="N24" s="41" cm="1">
        <f t="array" ref="N24">MMULT($H24:$K24,T$31:T$34)</f>
        <v>1.8408295978889826</v>
      </c>
      <c r="O24" s="42" cm="1">
        <f t="array" ref="O24">MMULT($H24:$K24,U$31:U$34)</f>
        <v>-1.5638101252534586</v>
      </c>
      <c r="P24" s="42" cm="1">
        <f t="array" ref="P24">MMULT($H24:$K24,V$31:V$34)</f>
        <v>-1.4301382624844172</v>
      </c>
      <c r="Q24" s="43" cm="1">
        <f t="array" ref="Q24">MMULT($H24:$K24,W$31:W$34)</f>
        <v>-1.0426033646839277</v>
      </c>
      <c r="S24" s="9" t="s">
        <v>136</v>
      </c>
      <c r="T24" s="8">
        <v>0.56425700000000001</v>
      </c>
      <c r="U24" s="8">
        <v>7.0843299999999998E-3</v>
      </c>
      <c r="V24" s="8">
        <v>0.80052500000000004</v>
      </c>
      <c r="W24" s="8">
        <v>0.20179900000000001</v>
      </c>
    </row>
    <row r="25" spans="1:23" x14ac:dyDescent="0.25">
      <c r="A25" s="31" t="s">
        <v>28</v>
      </c>
      <c r="B25" s="21">
        <v>10</v>
      </c>
      <c r="C25" s="21">
        <v>6</v>
      </c>
      <c r="D25" s="21">
        <v>2</v>
      </c>
      <c r="E25" s="22">
        <v>6</v>
      </c>
      <c r="G25" s="31" t="s">
        <v>28</v>
      </c>
      <c r="H25" s="25">
        <f t="shared" si="3"/>
        <v>1.3408019369626389</v>
      </c>
      <c r="I25" s="25">
        <f t="shared" si="0"/>
        <v>0.52502610989675336</v>
      </c>
      <c r="J25" s="25">
        <f t="shared" si="1"/>
        <v>-1.3034019354959692</v>
      </c>
      <c r="K25" s="26">
        <f t="shared" si="2"/>
        <v>0.27434724261096399</v>
      </c>
      <c r="M25" s="31" t="s">
        <v>28</v>
      </c>
      <c r="N25" s="41" cm="1">
        <f t="array" ref="N25">MMULT($H25:$K25,T$31:T$34)</f>
        <v>0.79347090852066349</v>
      </c>
      <c r="O25" s="42" cm="1">
        <f t="array" ref="O25">MMULT($H25:$K25,U$31:U$34)</f>
        <v>-1.2693026068439659</v>
      </c>
      <c r="P25" s="42" cm="1">
        <f t="array" ref="P25">MMULT($H25:$K25,V$31:V$34)</f>
        <v>1.4773190875871611</v>
      </c>
      <c r="Q25" s="43" cm="1">
        <f t="array" ref="Q25">MMULT($H25:$K25,W$31:W$34)</f>
        <v>-6.7626345259608533E-2</v>
      </c>
      <c r="S25" s="9" t="s">
        <v>137</v>
      </c>
      <c r="T25" s="8">
        <v>0.58860400000000002</v>
      </c>
      <c r="U25" s="8">
        <v>4.8571400000000001E-2</v>
      </c>
      <c r="V25" s="8">
        <v>-0.21956700000000001</v>
      </c>
      <c r="W25" s="8">
        <v>-0.77651499999999996</v>
      </c>
    </row>
    <row r="26" spans="1:23" x14ac:dyDescent="0.25">
      <c r="A26" s="31" t="s">
        <v>29</v>
      </c>
      <c r="B26" s="21">
        <v>6.1</v>
      </c>
      <c r="C26" s="21">
        <v>4</v>
      </c>
      <c r="D26" s="21">
        <v>4</v>
      </c>
      <c r="E26" s="22">
        <v>4</v>
      </c>
      <c r="G26" s="31" t="s">
        <v>29</v>
      </c>
      <c r="H26" s="25">
        <f t="shared" si="3"/>
        <v>8.5610493334628418E-2</v>
      </c>
      <c r="I26" s="25">
        <f t="shared" si="0"/>
        <v>-0.29340897957597073</v>
      </c>
      <c r="J26" s="25">
        <f t="shared" si="1"/>
        <v>-0.59271385725389247</v>
      </c>
      <c r="K26" s="26">
        <f t="shared" si="2"/>
        <v>-0.52549894575919343</v>
      </c>
      <c r="M26" s="31" t="s">
        <v>29</v>
      </c>
      <c r="N26" s="41" cm="1">
        <f t="array" ref="N26">MMULT($H26:$K26,T$31:T$34)</f>
        <v>-0.25990616008206957</v>
      </c>
      <c r="O26" s="42" cm="1">
        <f t="array" ref="O26">MMULT($H26:$K26,U$31:U$34)</f>
        <v>-0.60017589783203784</v>
      </c>
      <c r="P26" s="42" cm="1">
        <f t="array" ref="P26">MMULT($H26:$K26,V$31:V$34)</f>
        <v>0.78156874812845856</v>
      </c>
      <c r="Q26" s="43" cm="1">
        <f t="array" ref="Q26">MMULT($H26:$K26,W$31:W$34)</f>
        <v>-0.21661398293212719</v>
      </c>
      <c r="S26" s="9" t="s">
        <v>138</v>
      </c>
      <c r="T26" s="8">
        <v>-2.6761299999999998E-2</v>
      </c>
      <c r="U26" s="8">
        <v>0.99874300000000005</v>
      </c>
      <c r="V26" s="8">
        <v>-6.5685899999999998E-4</v>
      </c>
      <c r="W26" s="8">
        <v>4.2372300000000002E-2</v>
      </c>
    </row>
    <row r="27" spans="1:23" x14ac:dyDescent="0.25">
      <c r="A27" s="31" t="s">
        <v>30</v>
      </c>
      <c r="B27" s="21">
        <v>3.5</v>
      </c>
      <c r="C27" s="21">
        <v>2</v>
      </c>
      <c r="D27" s="21">
        <v>7</v>
      </c>
      <c r="E27" s="22">
        <v>2</v>
      </c>
      <c r="G27" s="31" t="s">
        <v>30</v>
      </c>
      <c r="H27" s="25">
        <f t="shared" si="3"/>
        <v>-0.75118380241737848</v>
      </c>
      <c r="I27" s="25">
        <f t="shared" si="0"/>
        <v>-1.1118440690486948</v>
      </c>
      <c r="J27" s="25">
        <f t="shared" si="1"/>
        <v>0.47331826010922279</v>
      </c>
      <c r="K27" s="26">
        <f t="shared" si="2"/>
        <v>-1.325345134129351</v>
      </c>
      <c r="M27" s="31" t="s">
        <v>30</v>
      </c>
      <c r="N27" s="41" cm="1">
        <f t="array" ref="N27">MMULT($H27:$K27,T$31:T$34)</f>
        <v>-1.1705019211065788</v>
      </c>
      <c r="O27" s="42" cm="1">
        <f t="array" ref="O27">MMULT($H27:$K27,U$31:U$34)</f>
        <v>0.42674445083866336</v>
      </c>
      <c r="P27" s="42" cm="1">
        <f t="array" ref="P27">MMULT($H27:$K27,V$31:V$34)</f>
        <v>0.69934405353552376</v>
      </c>
      <c r="Q27" s="43" cm="1">
        <f t="array" ref="Q27">MMULT($H27:$K27,W$31:W$34)</f>
        <v>-0.13359006623650171</v>
      </c>
      <c r="S27" s="9" t="s">
        <v>139</v>
      </c>
      <c r="T27" s="8">
        <v>0.57830999999999999</v>
      </c>
      <c r="U27" s="8">
        <v>-1.0131299999999999E-2</v>
      </c>
      <c r="V27" s="8">
        <v>-0.55762800000000001</v>
      </c>
      <c r="W27" s="8">
        <v>0.59540400000000004</v>
      </c>
    </row>
    <row r="28" spans="1:23" x14ac:dyDescent="0.25">
      <c r="A28" s="31" t="s">
        <v>31</v>
      </c>
      <c r="B28" s="21">
        <v>5</v>
      </c>
      <c r="C28" s="21">
        <v>2</v>
      </c>
      <c r="D28" s="21">
        <v>3</v>
      </c>
      <c r="E28" s="22">
        <v>3</v>
      </c>
      <c r="G28" s="31" t="s">
        <v>31</v>
      </c>
      <c r="H28" s="25">
        <f t="shared" si="3"/>
        <v>-0.26841786256045136</v>
      </c>
      <c r="I28" s="25">
        <f t="shared" si="0"/>
        <v>-1.1118440690486948</v>
      </c>
      <c r="J28" s="25">
        <f t="shared" si="1"/>
        <v>-0.94805789637493088</v>
      </c>
      <c r="K28" s="26">
        <f t="shared" si="2"/>
        <v>-0.92542203994427219</v>
      </c>
      <c r="M28" s="31" t="s">
        <v>31</v>
      </c>
      <c r="N28" s="41" cm="1">
        <f t="array" ref="N28">MMULT($H28:$K28,T$31:T$34)</f>
        <v>-0.82912258864067367</v>
      </c>
      <c r="O28" s="42" cm="1">
        <f t="array" ref="O28">MMULT($H28:$K28,U$31:U$34)</f>
        <v>-0.99320764799805827</v>
      </c>
      <c r="P28" s="42" cm="1">
        <f t="array" ref="P28">MMULT($H28:$K28,V$31:V$34)</f>
        <v>1.0006802530081331</v>
      </c>
      <c r="Q28" s="43" cm="1">
        <f t="array" ref="Q28">MMULT($H28:$K28,W$31:W$34)</f>
        <v>0.50844376927291646</v>
      </c>
      <c r="S28" s="36" t="s">
        <v>150</v>
      </c>
    </row>
    <row r="29" spans="1:23" x14ac:dyDescent="0.25">
      <c r="A29" s="31" t="s">
        <v>32</v>
      </c>
      <c r="B29" s="21">
        <v>10</v>
      </c>
      <c r="C29" s="21">
        <v>8</v>
      </c>
      <c r="D29" s="21">
        <v>2.5</v>
      </c>
      <c r="E29" s="22">
        <v>8</v>
      </c>
      <c r="G29" s="31" t="s">
        <v>32</v>
      </c>
      <c r="H29" s="25">
        <f t="shared" si="3"/>
        <v>1.3408019369626389</v>
      </c>
      <c r="I29" s="25">
        <f t="shared" si="0"/>
        <v>1.3434611993694774</v>
      </c>
      <c r="J29" s="25">
        <f t="shared" si="1"/>
        <v>-1.1257299159354501</v>
      </c>
      <c r="K29" s="26">
        <f t="shared" si="2"/>
        <v>1.0741934309811214</v>
      </c>
      <c r="M29" s="31" t="s">
        <v>32</v>
      </c>
      <c r="N29" s="41" cm="1">
        <f t="array" ref="N29">MMULT($H29:$K29,T$31:T$34)</f>
        <v>1.385544592254456</v>
      </c>
      <c r="O29" s="42" cm="1">
        <f t="array" ref="O29">MMULT($H29:$K29,U$31:U$34)</f>
        <v>-1.0602444773580373</v>
      </c>
      <c r="P29" s="42" cm="1">
        <f t="array" ref="P29">MMULT($H29:$K29,V$31:V$34)</f>
        <v>0.33013930923782553</v>
      </c>
      <c r="Q29" s="43" cm="1">
        <f t="array" ref="Q29">MMULT($H29:$K29,W$31:W$34)</f>
        <v>-0.42155264849731333</v>
      </c>
    </row>
    <row r="30" spans="1:23" x14ac:dyDescent="0.25">
      <c r="A30" s="31" t="s">
        <v>33</v>
      </c>
      <c r="B30" s="21">
        <v>9.9</v>
      </c>
      <c r="C30" s="21">
        <v>10</v>
      </c>
      <c r="D30" s="21">
        <v>10</v>
      </c>
      <c r="E30" s="22">
        <v>10</v>
      </c>
      <c r="G30" s="31" t="s">
        <v>33</v>
      </c>
      <c r="H30" s="25">
        <f t="shared" si="3"/>
        <v>1.3086175409721774</v>
      </c>
      <c r="I30" s="25">
        <f t="shared" si="0"/>
        <v>2.1618962888422018</v>
      </c>
      <c r="J30" s="25">
        <f t="shared" si="1"/>
        <v>1.539350377472338</v>
      </c>
      <c r="K30" s="26">
        <f t="shared" si="2"/>
        <v>1.8740396193512789</v>
      </c>
      <c r="M30" s="31" t="s">
        <v>33</v>
      </c>
      <c r="N30" s="41" cm="1">
        <f t="array" ref="N30">MMULT($H30:$K30,T$31:T$34)</f>
        <v>1.9242257206311448</v>
      </c>
      <c r="O30" s="42" cm="1">
        <f t="array" ref="O30">MMULT($H30:$K30,U$31:U$34)</f>
        <v>1.6323966544985329</v>
      </c>
      <c r="P30" s="42" cm="1">
        <f t="array" ref="P30">MMULT($H30:$K30,V$31:V$34)</f>
        <v>-0.86726262158912437</v>
      </c>
      <c r="Q30" s="43" cm="1">
        <f t="array" ref="Q30">MMULT($H30:$K30,W$31:W$34)</f>
        <v>-0.54483499519176704</v>
      </c>
      <c r="S30" s="33" t="s">
        <v>134</v>
      </c>
      <c r="T30" s="9" t="s">
        <v>118</v>
      </c>
      <c r="U30" s="9" t="s">
        <v>119</v>
      </c>
      <c r="V30" s="9" t="s">
        <v>120</v>
      </c>
      <c r="W30" s="9" t="s">
        <v>121</v>
      </c>
    </row>
    <row r="31" spans="1:23" x14ac:dyDescent="0.25">
      <c r="A31" s="31" t="s">
        <v>34</v>
      </c>
      <c r="B31" s="21">
        <v>3.1</v>
      </c>
      <c r="C31" s="21">
        <v>2</v>
      </c>
      <c r="D31" s="21">
        <v>2</v>
      </c>
      <c r="E31" s="22">
        <v>2</v>
      </c>
      <c r="G31" s="31" t="s">
        <v>34</v>
      </c>
      <c r="H31" s="25">
        <f t="shared" si="3"/>
        <v>-0.87992138637922568</v>
      </c>
      <c r="I31" s="25">
        <f t="shared" si="0"/>
        <v>-1.1118440690486948</v>
      </c>
      <c r="J31" s="25">
        <f t="shared" si="1"/>
        <v>-1.3034019354959692</v>
      </c>
      <c r="K31" s="26">
        <f t="shared" si="2"/>
        <v>-1.325345134129351</v>
      </c>
      <c r="M31" s="31" t="s">
        <v>34</v>
      </c>
      <c r="N31" s="41" cm="1">
        <f t="array" ref="N31">MMULT($H31:$K31,T$31:T$34)</f>
        <v>-1.1863153697293836</v>
      </c>
      <c r="O31" s="42" cm="1">
        <f t="array" ref="O31">MMULT($H31:$K31,U$31:U$34)</f>
        <v>-1.3483180845238218</v>
      </c>
      <c r="P31" s="42" cm="1">
        <f t="array" ref="P31">MMULT($H31:$K31,V$31:V$34)</f>
        <v>0.5125745428894819</v>
      </c>
      <c r="Q31" s="43" cm="1">
        <f t="array" ref="Q31">MMULT($H31:$K31,W$31:W$34)</f>
        <v>-0.36973857322875281</v>
      </c>
      <c r="S31" s="9" t="s">
        <v>1</v>
      </c>
      <c r="T31" s="4">
        <f>T24/SQRT($T$16)</f>
        <v>0.35558066734544908</v>
      </c>
      <c r="U31" s="4">
        <f>U24/SQRT($T$17)</f>
        <v>7.0829879009446104E-3</v>
      </c>
      <c r="V31" s="4">
        <f>V24/SQRT($T$18)</f>
        <v>1.4673940763587141</v>
      </c>
      <c r="W31" s="4">
        <f>W24/SQRT($T$19)</f>
        <v>0.47060238528617282</v>
      </c>
    </row>
    <row r="32" spans="1:23" x14ac:dyDescent="0.25">
      <c r="A32" s="31" t="s">
        <v>35</v>
      </c>
      <c r="B32" s="21">
        <v>1.4</v>
      </c>
      <c r="C32" s="21">
        <v>2.2999999999999998</v>
      </c>
      <c r="D32" s="21">
        <v>4</v>
      </c>
      <c r="E32" s="22">
        <v>5.7</v>
      </c>
      <c r="G32" s="31" t="s">
        <v>35</v>
      </c>
      <c r="H32" s="25">
        <f t="shared" si="3"/>
        <v>-1.4270561182170762</v>
      </c>
      <c r="I32" s="25">
        <f t="shared" si="0"/>
        <v>-0.98907880562778627</v>
      </c>
      <c r="J32" s="25">
        <f t="shared" si="1"/>
        <v>-0.59271385725389247</v>
      </c>
      <c r="K32" s="26">
        <f t="shared" si="2"/>
        <v>0.15437031435544044</v>
      </c>
      <c r="M32" s="31" t="s">
        <v>35</v>
      </c>
      <c r="N32" s="41" cm="1">
        <f t="array" ref="N32">MMULT($H32:$K32,T$31:T$34)</f>
        <v>-0.8080522917451648</v>
      </c>
      <c r="O32" s="42" cm="1">
        <f t="array" ref="O32">MMULT($H32:$K32,U$31:U$34)</f>
        <v>-0.65156000774594902</v>
      </c>
      <c r="P32" s="42" cm="1">
        <f t="array" ref="P32">MMULT($H32:$K32,V$31:V$34)</f>
        <v>-1.8530507979586173</v>
      </c>
      <c r="Q32" s="43" cm="1">
        <f t="array" ref="Q32">MMULT($H32:$K32,W$31:W$34)</f>
        <v>1.2752830119807832</v>
      </c>
      <c r="S32" s="9" t="s">
        <v>2</v>
      </c>
      <c r="T32" s="4">
        <f t="shared" ref="T32:T34" si="4">T25/SQRT($T$16)</f>
        <v>0.37092353860421884</v>
      </c>
      <c r="U32" s="4">
        <f t="shared" ref="U32:U34" si="5">U25/SQRT($T$17)</f>
        <v>4.8562198335190633E-2</v>
      </c>
      <c r="V32" s="4">
        <f t="shared" ref="V32:V34" si="6">V25/SQRT($T$18)</f>
        <v>-0.40247501972312394</v>
      </c>
      <c r="W32" s="4">
        <f t="shared" ref="W32:W34" si="7">W25/SQRT($T$19)</f>
        <v>-1.8108603670508399</v>
      </c>
    </row>
    <row r="33" spans="1:25" x14ac:dyDescent="0.25">
      <c r="A33" s="31" t="s">
        <v>36</v>
      </c>
      <c r="B33" s="21">
        <v>8.3000000000000007</v>
      </c>
      <c r="C33" s="21">
        <v>4</v>
      </c>
      <c r="D33" s="21">
        <v>5</v>
      </c>
      <c r="E33" s="22">
        <v>5</v>
      </c>
      <c r="G33" s="31" t="s">
        <v>36</v>
      </c>
      <c r="H33" s="25">
        <f t="shared" si="3"/>
        <v>0.7936672051247885</v>
      </c>
      <c r="I33" s="25">
        <f t="shared" si="0"/>
        <v>-0.29340897957597073</v>
      </c>
      <c r="J33" s="25">
        <f t="shared" si="1"/>
        <v>-0.23736981813285402</v>
      </c>
      <c r="K33" s="26">
        <f t="shared" si="2"/>
        <v>-0.12557585157411474</v>
      </c>
      <c r="M33" s="31" t="s">
        <v>36</v>
      </c>
      <c r="N33" s="41" cm="1">
        <f t="array" ref="N33">MMULT($H33:$K33,T$31:T$34)</f>
        <v>0.13161906801983608</v>
      </c>
      <c r="O33" s="42" cm="1">
        <f t="array" ref="O33">MMULT($H33:$K33,U$31:U$34)</f>
        <v>-0.24438157624407503</v>
      </c>
      <c r="P33" s="42" cm="1">
        <f t="array" ref="P33">MMULT($H33:$K33,V$31:V$34)</f>
        <v>1.411356034329871</v>
      </c>
      <c r="Q33" s="43" cm="1">
        <f t="array" ref="Q33">MMULT($H33:$K33,W$31:W$34)</f>
        <v>0.70700652013586018</v>
      </c>
      <c r="S33" s="9" t="s">
        <v>3</v>
      </c>
      <c r="T33" s="4">
        <f t="shared" si="4"/>
        <v>-1.6864302814199497E-2</v>
      </c>
      <c r="U33" s="4">
        <f t="shared" si="5"/>
        <v>0.99855379198218086</v>
      </c>
      <c r="V33" s="4">
        <f t="shared" si="6"/>
        <v>-1.2040486001098137E-3</v>
      </c>
      <c r="W33" s="4">
        <f t="shared" si="7"/>
        <v>9.8813698036468472E-2</v>
      </c>
    </row>
    <row r="34" spans="1:25" x14ac:dyDescent="0.25">
      <c r="A34" s="31" t="s">
        <v>37</v>
      </c>
      <c r="B34" s="21">
        <v>9.1</v>
      </c>
      <c r="C34" s="21">
        <v>5.4</v>
      </c>
      <c r="D34" s="21">
        <v>6</v>
      </c>
      <c r="E34" s="22">
        <v>6</v>
      </c>
      <c r="G34" s="31" t="s">
        <v>37</v>
      </c>
      <c r="H34" s="25">
        <f t="shared" si="3"/>
        <v>1.0511423730484826</v>
      </c>
      <c r="I34" s="25">
        <f t="shared" si="0"/>
        <v>0.27949558305493627</v>
      </c>
      <c r="J34" s="25">
        <f t="shared" si="1"/>
        <v>0.11797422098818439</v>
      </c>
      <c r="K34" s="26">
        <f t="shared" si="2"/>
        <v>0.27434724261096399</v>
      </c>
      <c r="M34" s="31" t="s">
        <v>37</v>
      </c>
      <c r="N34" s="41" cm="1">
        <f t="array" ref="N34">MMULT($H34:$K34,T$31:T$34)</f>
        <v>0.57542999771371928</v>
      </c>
      <c r="O34" s="42" cm="1">
        <f t="array" ref="O34">MMULT($H34:$K34,U$31:U$34)</f>
        <v>0.13604278671791029</v>
      </c>
      <c r="P34" s="42" cm="1">
        <f t="array" ref="P34">MMULT($H34:$K34,V$31:V$34)</f>
        <v>1.1493828570007247</v>
      </c>
      <c r="Q34" s="43" cm="1">
        <f t="array" ref="Q34">MMULT($H34:$K34,W$31:W$34)</f>
        <v>0.38113210732345704</v>
      </c>
      <c r="S34" s="9" t="s">
        <v>4</v>
      </c>
      <c r="T34" s="4">
        <f t="shared" si="4"/>
        <v>0.36443651692853901</v>
      </c>
      <c r="U34" s="4">
        <f t="shared" si="5"/>
        <v>-1.0129380664203972E-2</v>
      </c>
      <c r="V34" s="4">
        <f t="shared" si="6"/>
        <v>-1.0221542412938471</v>
      </c>
      <c r="W34" s="4">
        <f t="shared" si="7"/>
        <v>1.3885031274135573</v>
      </c>
    </row>
    <row r="35" spans="1:25" x14ac:dyDescent="0.25">
      <c r="A35" s="31" t="s">
        <v>38</v>
      </c>
      <c r="B35" s="21">
        <v>7.7</v>
      </c>
      <c r="C35" s="21">
        <v>4.3</v>
      </c>
      <c r="D35" s="21">
        <v>10</v>
      </c>
      <c r="E35" s="22">
        <v>5.2</v>
      </c>
      <c r="G35" s="31" t="s">
        <v>38</v>
      </c>
      <c r="H35" s="25">
        <f t="shared" si="3"/>
        <v>0.60056082918201747</v>
      </c>
      <c r="I35" s="25">
        <f t="shared" si="0"/>
        <v>-0.17064371615506216</v>
      </c>
      <c r="J35" s="25">
        <f t="shared" si="1"/>
        <v>1.539350377472338</v>
      </c>
      <c r="K35" s="26">
        <f t="shared" si="2"/>
        <v>-4.5591232737098926E-2</v>
      </c>
      <c r="M35" s="31" t="s">
        <v>38</v>
      </c>
      <c r="N35" s="41" cm="1">
        <f t="array" ref="N35">MMULT($H35:$K35,T$31:T$34)</f>
        <v>0.10767686842123593</v>
      </c>
      <c r="O35" s="42" cm="1">
        <f t="array" ref="O35">MMULT($H35:$K35,U$31:U$34)</f>
        <v>1.5335528986638505</v>
      </c>
      <c r="P35" s="42" cm="1">
        <f t="array" ref="P35">MMULT($H35:$K35,V$31:V$34)</f>
        <v>0.99468705550087233</v>
      </c>
      <c r="Q35" s="43" cm="1">
        <f t="array" ref="Q35">MMULT($H35:$K35,W$31:W$34)</f>
        <v>0.68044263532774862</v>
      </c>
    </row>
    <row r="36" spans="1:25" x14ac:dyDescent="0.25">
      <c r="A36" s="31" t="s">
        <v>39</v>
      </c>
      <c r="B36" s="21">
        <v>9</v>
      </c>
      <c r="C36" s="21">
        <v>6</v>
      </c>
      <c r="D36" s="21">
        <v>1.1000000000000001</v>
      </c>
      <c r="E36" s="22">
        <v>7.1</v>
      </c>
      <c r="G36" s="31" t="s">
        <v>39</v>
      </c>
      <c r="H36" s="25">
        <f t="shared" si="3"/>
        <v>1.018957977058021</v>
      </c>
      <c r="I36" s="25">
        <f t="shared" si="0"/>
        <v>0.52502610989675336</v>
      </c>
      <c r="J36" s="25">
        <f t="shared" si="1"/>
        <v>-1.623211570704904</v>
      </c>
      <c r="K36" s="26">
        <f t="shared" si="2"/>
        <v>0.71426264621455049</v>
      </c>
      <c r="M36" s="31" t="s">
        <v>39</v>
      </c>
      <c r="N36" s="41" cm="1">
        <f t="array" ref="N36">MMULT($H36:$K36,T$31:T$34)</f>
        <v>0.84474402244024316</v>
      </c>
      <c r="O36" s="42" cm="1">
        <f t="array" ref="O36">MMULT($H36:$K36,U$31:U$34)</f>
        <v>-1.59538541825143</v>
      </c>
      <c r="P36" s="42" cm="1">
        <f t="array" ref="P36">MMULT($H36:$K36,V$31:V$34)</f>
        <v>0.55577083805096772</v>
      </c>
      <c r="Q36" s="43" cm="1">
        <f t="array" ref="Q36">MMULT($H36:$K36,W$31:W$34)</f>
        <v>0.36013546049761924</v>
      </c>
    </row>
    <row r="37" spans="1:25" x14ac:dyDescent="0.25">
      <c r="A37" s="31" t="s">
        <v>40</v>
      </c>
      <c r="B37" s="21">
        <v>9.3000000000000007</v>
      </c>
      <c r="C37" s="21">
        <v>7.5</v>
      </c>
      <c r="D37" s="21">
        <v>2.4</v>
      </c>
      <c r="E37" s="22">
        <v>7.7</v>
      </c>
      <c r="G37" s="31" t="s">
        <v>40</v>
      </c>
      <c r="H37" s="25">
        <f t="shared" si="3"/>
        <v>1.1155111650294067</v>
      </c>
      <c r="I37" s="25">
        <f t="shared" si="0"/>
        <v>1.1388524270012965</v>
      </c>
      <c r="J37" s="25">
        <f t="shared" si="1"/>
        <v>-1.1612643198475538</v>
      </c>
      <c r="K37" s="26">
        <f t="shared" si="2"/>
        <v>0.95421650272559788</v>
      </c>
      <c r="M37" s="31" t="s">
        <v>40</v>
      </c>
      <c r="N37" s="41" cm="1">
        <f t="array" ref="N37">MMULT($H37:$K37,T$31:T$34)</f>
        <v>1.1864166284500628</v>
      </c>
      <c r="O37" s="42" cm="1">
        <f t="array" ref="O37">MMULT($H37:$K37,U$31:U$34)</f>
        <v>-1.1060441827497338</v>
      </c>
      <c r="P37" s="42" cm="1">
        <f t="array" ref="P37">MMULT($H37:$K37,V$31:V$34)</f>
        <v>0.20457659596220323</v>
      </c>
      <c r="Q37" s="43" cm="1">
        <f t="array" ref="Q37">MMULT($H37:$K37,W$31:W$34)</f>
        <v>-0.32715673247793275</v>
      </c>
      <c r="S37" s="33" t="s">
        <v>133</v>
      </c>
      <c r="T37" s="9" t="s">
        <v>128</v>
      </c>
      <c r="U37" s="9" t="s">
        <v>129</v>
      </c>
      <c r="V37" s="9" t="s">
        <v>130</v>
      </c>
      <c r="W37" s="9" t="s">
        <v>131</v>
      </c>
    </row>
    <row r="38" spans="1:25" x14ac:dyDescent="0.25">
      <c r="A38" s="31" t="s">
        <v>41</v>
      </c>
      <c r="B38" s="21">
        <v>9</v>
      </c>
      <c r="C38" s="21">
        <v>6.5</v>
      </c>
      <c r="D38" s="21">
        <v>2</v>
      </c>
      <c r="E38" s="22">
        <v>6.5</v>
      </c>
      <c r="G38" s="31" t="s">
        <v>41</v>
      </c>
      <c r="H38" s="25">
        <f t="shared" si="3"/>
        <v>1.018957977058021</v>
      </c>
      <c r="I38" s="25">
        <f t="shared" si="0"/>
        <v>0.72963488226493445</v>
      </c>
      <c r="J38" s="25">
        <f t="shared" si="1"/>
        <v>-1.3034019354959692</v>
      </c>
      <c r="K38" s="26">
        <f t="shared" si="2"/>
        <v>0.47430878970350332</v>
      </c>
      <c r="M38" s="31" t="s">
        <v>41</v>
      </c>
      <c r="N38" s="41" cm="1">
        <f t="array" ref="N38">MMULT($H38:$K38,T$31:T$34)</f>
        <v>0.82779691809499534</v>
      </c>
      <c r="O38" s="42" cm="1">
        <f t="array" ref="O38">MMULT($H38:$K38,U$31:U$34)</f>
        <v>-1.2636714585618023</v>
      </c>
      <c r="P38" s="42" cm="1">
        <f t="array" ref="P38">MMULT($H38:$K38,V$31:V$34)</f>
        <v>0.71830570416056683</v>
      </c>
      <c r="Q38" s="43" cm="1">
        <f t="array" ref="Q38">MMULT($H38:$K38,W$31:W$34)</f>
        <v>-0.31195756361269122</v>
      </c>
      <c r="S38" s="9" t="s">
        <v>128</v>
      </c>
      <c r="T38" s="4">
        <f>CORREL($N$2:$N$101,N2:N101)</f>
        <v>1</v>
      </c>
      <c r="U38" s="4">
        <f>CORREL($N$2:$N$101,O2:O101)</f>
        <v>2.1937313448901717E-8</v>
      </c>
      <c r="V38" s="4">
        <f>CORREL($N$2:$N$101,P2:P101)</f>
        <v>-4.184948916773742E-7</v>
      </c>
      <c r="W38" s="4">
        <f>CORREL($N$2:$N$101,Q2:Q101)</f>
        <v>1.9612053439285175E-6</v>
      </c>
    </row>
    <row r="39" spans="1:25" x14ac:dyDescent="0.25">
      <c r="A39" s="31" t="s">
        <v>42</v>
      </c>
      <c r="B39" s="21">
        <v>8.9</v>
      </c>
      <c r="C39" s="21">
        <v>5</v>
      </c>
      <c r="D39" s="21">
        <v>6</v>
      </c>
      <c r="E39" s="22">
        <v>6</v>
      </c>
      <c r="G39" s="31" t="s">
        <v>42</v>
      </c>
      <c r="H39" s="25">
        <f t="shared" si="3"/>
        <v>0.9867735810675593</v>
      </c>
      <c r="I39" s="25">
        <f t="shared" si="0"/>
        <v>0.11580856516039133</v>
      </c>
      <c r="J39" s="25">
        <f t="shared" si="1"/>
        <v>0.11797422098818439</v>
      </c>
      <c r="K39" s="26">
        <f t="shared" si="2"/>
        <v>0.27434724261096399</v>
      </c>
      <c r="M39" s="31" t="s">
        <v>42</v>
      </c>
      <c r="N39" s="41" cm="1">
        <f t="array" ref="N39">MMULT($H39:$K39,T$31:T$34)</f>
        <v>0.49182633180390545</v>
      </c>
      <c r="O39" s="42" cm="1">
        <f t="array" ref="O39">MMULT($H39:$K39,U$31:U$34)</f>
        <v>0.1276378619152202</v>
      </c>
      <c r="P39" s="42" cm="1">
        <f t="array" ref="P39">MMULT($H39:$K39,V$31:V$34)</f>
        <v>1.1208084087010779</v>
      </c>
      <c r="Q39" s="43" cm="1">
        <f t="array" ref="Q39">MMULT($H39:$K39,W$31:W$34)</f>
        <v>0.64725433358521811</v>
      </c>
      <c r="S39" s="9" t="s">
        <v>129</v>
      </c>
      <c r="T39" s="4">
        <f>CORREL($O$2:$O$101,N2:N101)</f>
        <v>2.1937313448901717E-8</v>
      </c>
      <c r="U39" s="4">
        <f>CORREL($O$2:$O$101,O2:O101)</f>
        <v>1</v>
      </c>
      <c r="V39" s="4">
        <f>CORREL($O$2:$O$101,P2:P101)</f>
        <v>-3.3052580600258372E-8</v>
      </c>
      <c r="W39" s="4">
        <f>CORREL($O$2:$O$101,Q2:Q101)</f>
        <v>-8.4373935264906951E-9</v>
      </c>
    </row>
    <row r="40" spans="1:25" x14ac:dyDescent="0.25">
      <c r="A40" s="31" t="s">
        <v>43</v>
      </c>
      <c r="B40" s="21">
        <v>9</v>
      </c>
      <c r="C40" s="21">
        <v>6.4</v>
      </c>
      <c r="D40" s="21">
        <v>3.7</v>
      </c>
      <c r="E40" s="22">
        <v>3.6</v>
      </c>
      <c r="G40" s="31" t="s">
        <v>43</v>
      </c>
      <c r="H40" s="25">
        <f t="shared" si="3"/>
        <v>1.018957977058021</v>
      </c>
      <c r="I40" s="25">
        <f t="shared" si="0"/>
        <v>0.68871312779129834</v>
      </c>
      <c r="J40" s="25">
        <f t="shared" si="1"/>
        <v>-0.69931706899020385</v>
      </c>
      <c r="K40" s="26">
        <f t="shared" si="2"/>
        <v>-0.68546818343322491</v>
      </c>
      <c r="M40" s="31" t="s">
        <v>43</v>
      </c>
      <c r="N40" s="41" cm="1">
        <f t="array" ref="N40">MMULT($H40:$K40,T$31:T$34)</f>
        <v>0.37976552550163978</v>
      </c>
      <c r="O40" s="42" cm="1">
        <f t="array" ref="O40">MMULT($H40:$K40,U$31:U$34)</f>
        <v>-0.65069965234391336</v>
      </c>
      <c r="P40" s="42" cm="1">
        <f t="array" ref="P40">MMULT($H40:$K40,V$31:V$34)</f>
        <v>1.9195192926082318</v>
      </c>
      <c r="Q40" s="43" cm="1">
        <f t="array" ref="Q40">MMULT($H40:$K40,W$31:W$34)</f>
        <v>-1.7885160750014735</v>
      </c>
      <c r="S40" s="9" t="s">
        <v>130</v>
      </c>
      <c r="T40" s="4">
        <f>CORREL($P$2:$P$101,N2:N101)</f>
        <v>-4.184948916773742E-7</v>
      </c>
      <c r="U40" s="4">
        <f>CORREL($P$2:$P$101,O2:O101)</f>
        <v>-3.3052580600258372E-8</v>
      </c>
      <c r="V40" s="4">
        <f>CORREL($P$2:$P$101,P2:P101)</f>
        <v>1</v>
      </c>
      <c r="W40" s="4">
        <f>CORREL($P$2:$P$101,Q2:Q101)</f>
        <v>4.4558184040088074E-7</v>
      </c>
    </row>
    <row r="41" spans="1:25" x14ac:dyDescent="0.25">
      <c r="A41" s="31" t="s">
        <v>44</v>
      </c>
      <c r="B41" s="21">
        <v>9.8000000000000007</v>
      </c>
      <c r="C41" s="21">
        <v>9</v>
      </c>
      <c r="D41" s="21">
        <v>9</v>
      </c>
      <c r="E41" s="22">
        <v>9</v>
      </c>
      <c r="G41" s="31" t="s">
        <v>44</v>
      </c>
      <c r="H41" s="25">
        <f t="shared" si="3"/>
        <v>1.2764331449817157</v>
      </c>
      <c r="I41" s="25">
        <f t="shared" si="0"/>
        <v>1.7526787441058396</v>
      </c>
      <c r="J41" s="25">
        <f t="shared" si="1"/>
        <v>1.1840063383512995</v>
      </c>
      <c r="K41" s="26">
        <f t="shared" si="2"/>
        <v>1.4741165251662001</v>
      </c>
      <c r="M41" s="31" t="s">
        <v>44</v>
      </c>
      <c r="N41" s="41" cm="1">
        <f t="array" ref="N41">MMULT($H41:$K41,T$31:T$34)</f>
        <v>1.6212392018690682</v>
      </c>
      <c r="O41" s="42" cm="1">
        <f t="array" ref="O41">MMULT($H41:$K41,U$31:U$34)</f>
        <v>1.2615170247762357</v>
      </c>
      <c r="P41" s="42" cm="1">
        <f t="array" ref="P41">MMULT($H41:$K41,V$31:V$34)</f>
        <v>-0.34057903582239746</v>
      </c>
      <c r="Q41" s="43" cm="1">
        <f t="array" ref="Q41">MMULT($H41:$K41,W$31:W$34)</f>
        <v>-0.40935254103059426</v>
      </c>
      <c r="S41" s="9" t="s">
        <v>131</v>
      </c>
      <c r="T41" s="4">
        <f>CORREL($Q$2:$Q$101,N2:N101)</f>
        <v>1.9612053439285175E-6</v>
      </c>
      <c r="U41" s="4">
        <f>CORREL($Q$2:$Q$101,O2:O101)</f>
        <v>-8.4373935264906951E-9</v>
      </c>
      <c r="V41" s="4">
        <f>CORREL($Q$2:$Q$101,P2:P101)</f>
        <v>4.4558184040088074E-7</v>
      </c>
      <c r="W41" s="4">
        <f>CORREL($Q$2:$Q$101,Q2:Q101)</f>
        <v>0.99999999999999989</v>
      </c>
    </row>
    <row r="42" spans="1:25" x14ac:dyDescent="0.25">
      <c r="A42" s="31" t="s">
        <v>45</v>
      </c>
      <c r="B42" s="21">
        <v>5.8</v>
      </c>
      <c r="C42" s="21">
        <v>5</v>
      </c>
      <c r="D42" s="21">
        <v>6</v>
      </c>
      <c r="E42" s="22">
        <v>6</v>
      </c>
      <c r="G42" s="31" t="s">
        <v>45</v>
      </c>
      <c r="H42" s="25">
        <f t="shared" si="3"/>
        <v>-1.0942694636756954E-2</v>
      </c>
      <c r="I42" s="25">
        <f t="shared" si="0"/>
        <v>0.11580856516039133</v>
      </c>
      <c r="J42" s="25">
        <f t="shared" si="1"/>
        <v>0.11797422098818439</v>
      </c>
      <c r="K42" s="26">
        <f t="shared" si="2"/>
        <v>0.27434724261096399</v>
      </c>
      <c r="M42" s="31" t="s">
        <v>45</v>
      </c>
      <c r="N42" s="41" cm="1">
        <f t="array" ref="N42">MMULT($H42:$K42,T$31:T$34)</f>
        <v>0.13705771266754865</v>
      </c>
      <c r="O42" s="42" cm="1">
        <f t="array" ref="O42">MMULT($H42:$K42,U$31:U$34)</f>
        <v>0.12057104960583102</v>
      </c>
      <c r="P42" s="42" cm="1">
        <f t="array" ref="P42">MMULT($H42:$K42,V$31:V$34)</f>
        <v>-0.34323454415411336</v>
      </c>
      <c r="Q42" s="43" cm="1">
        <f t="array" ref="Q42">MMULT($H42:$K42,W$31:W$34)</f>
        <v>0.17772667439993012</v>
      </c>
    </row>
    <row r="43" spans="1:25" x14ac:dyDescent="0.25">
      <c r="A43" s="31" t="s">
        <v>46</v>
      </c>
      <c r="B43" s="21">
        <v>7.4</v>
      </c>
      <c r="C43" s="21">
        <v>3.5</v>
      </c>
      <c r="D43" s="21">
        <v>8</v>
      </c>
      <c r="E43" s="22">
        <v>2.4</v>
      </c>
      <c r="G43" s="31" t="s">
        <v>46</v>
      </c>
      <c r="H43" s="25">
        <f t="shared" si="3"/>
        <v>0.50400764121063213</v>
      </c>
      <c r="I43" s="25">
        <f t="shared" si="0"/>
        <v>-0.49801775194415171</v>
      </c>
      <c r="J43" s="25">
        <f t="shared" si="1"/>
        <v>0.82866229923026125</v>
      </c>
      <c r="K43" s="26">
        <f t="shared" si="2"/>
        <v>-1.1653758964553194</v>
      </c>
      <c r="M43" s="31" t="s">
        <v>46</v>
      </c>
      <c r="N43" s="41" cm="1">
        <f t="array" ref="N43">MMULT($H43:$K43,T$31:T$34)</f>
        <v>-0.44419147799154085</v>
      </c>
      <c r="O43" s="42" cm="1">
        <f t="array" ref="O43">MMULT($H43:$K43,U$31:U$34)</f>
        <v>0.8186534604214547</v>
      </c>
      <c r="P43" s="42" cm="1">
        <f t="array" ref="P43">MMULT($H43:$K43,V$31:V$34)</f>
        <v>2.1302136972702699</v>
      </c>
      <c r="Q43" s="43" cm="1">
        <f t="array" ref="Q43">MMULT($H43:$K43,W$31:W$34)</f>
        <v>-0.39721708339064232</v>
      </c>
    </row>
    <row r="44" spans="1:25" x14ac:dyDescent="0.25">
      <c r="A44" s="31" t="s">
        <v>47</v>
      </c>
      <c r="B44" s="21">
        <v>8.1</v>
      </c>
      <c r="C44" s="21">
        <v>8</v>
      </c>
      <c r="D44" s="21">
        <v>1</v>
      </c>
      <c r="E44" s="22">
        <v>9.3000000000000007</v>
      </c>
      <c r="G44" s="31" t="s">
        <v>47</v>
      </c>
      <c r="H44" s="25">
        <f t="shared" si="3"/>
        <v>0.72929841314386457</v>
      </c>
      <c r="I44" s="25">
        <f t="shared" si="0"/>
        <v>1.3434611993694774</v>
      </c>
      <c r="J44" s="25">
        <f t="shared" si="1"/>
        <v>-1.6587459746170077</v>
      </c>
      <c r="K44" s="26">
        <f t="shared" si="2"/>
        <v>1.5940934534217241</v>
      </c>
      <c r="M44" s="31" t="s">
        <v>47</v>
      </c>
      <c r="N44" s="41" cm="1">
        <f t="array" ref="N44">MMULT($H44:$K44,T$31:T$34)</f>
        <v>1.3665652587186421</v>
      </c>
      <c r="O44" s="42" cm="1">
        <f t="array" ref="O44">MMULT($H44:$K44,U$31:U$34)</f>
        <v>-1.6020872212371258</v>
      </c>
      <c r="P44" s="42" cm="1">
        <f t="array" ref="P44">MMULT($H44:$K44,V$31:V$34)</f>
        <v>-1.0979535750334608</v>
      </c>
      <c r="Q44" s="43" cm="1">
        <f t="array" ref="Q44">MMULT($H44:$K44,W$31:W$34)</f>
        <v>-4.0114146187320898E-2</v>
      </c>
      <c r="S44" s="33" t="s">
        <v>132</v>
      </c>
      <c r="T44" s="9" t="s">
        <v>128</v>
      </c>
      <c r="U44" s="9" t="s">
        <v>129</v>
      </c>
      <c r="V44" s="9" t="s">
        <v>130</v>
      </c>
      <c r="W44" s="9" t="s">
        <v>131</v>
      </c>
      <c r="Y44" s="33" t="s">
        <v>141</v>
      </c>
    </row>
    <row r="45" spans="1:25" x14ac:dyDescent="0.25">
      <c r="A45" s="31" t="s">
        <v>48</v>
      </c>
      <c r="B45" s="21">
        <v>4.5999999999999996</v>
      </c>
      <c r="C45" s="21">
        <v>3.8</v>
      </c>
      <c r="D45" s="21">
        <v>8</v>
      </c>
      <c r="E45" s="22">
        <v>6.8</v>
      </c>
      <c r="G45" s="31" t="s">
        <v>48</v>
      </c>
      <c r="H45" s="25">
        <f t="shared" si="3"/>
        <v>-0.39715544652229873</v>
      </c>
      <c r="I45" s="25">
        <f t="shared" si="0"/>
        <v>-0.37525248852324317</v>
      </c>
      <c r="J45" s="25">
        <f t="shared" si="1"/>
        <v>0.82866229923026125</v>
      </c>
      <c r="K45" s="26">
        <f t="shared" si="2"/>
        <v>0.59428571795902685</v>
      </c>
      <c r="M45" s="31" t="s">
        <v>48</v>
      </c>
      <c r="N45" s="41" cm="1">
        <f t="array" ref="N45">MMULT($H45:$K45,T$31:T$34)</f>
        <v>-7.7806174458925265E-2</v>
      </c>
      <c r="O45" s="42" cm="1">
        <f t="array" ref="O45">MMULT($H45:$K45,U$31:U$34)</f>
        <v>0.80040800191259198</v>
      </c>
      <c r="P45" s="42" cm="1">
        <f t="array" ref="P45">MMULT($H45:$K45,V$31:V$34)</f>
        <v>-1.0402032137344079</v>
      </c>
      <c r="Q45" s="43" cm="1">
        <f t="array" ref="Q45">MMULT($H45:$K45,W$31:W$34)</f>
        <v>1.3996783228148171</v>
      </c>
      <c r="S45" s="9" t="s">
        <v>1</v>
      </c>
      <c r="T45" s="4">
        <f>CORREL($B$2:$B$101,N2:N101)</f>
        <v>0.89539787754720745</v>
      </c>
      <c r="U45" s="4">
        <f>CORREL($B$2:$B$101,O2:O101)</f>
        <v>7.0856954711777387E-3</v>
      </c>
      <c r="V45" s="4">
        <f>CORREL($B$2:$B$101,P2:P101)</f>
        <v>0.43671973753988119</v>
      </c>
      <c r="W45" s="4">
        <f>CORREL($B$2:$B$101,Q2:Q101)</f>
        <v>8.6535050767474544E-2</v>
      </c>
      <c r="Y45" s="4">
        <f>(T45^2)+(U45^2)+(V45^2)+(W45^2)</f>
        <v>1.0000000103645863</v>
      </c>
    </row>
    <row r="46" spans="1:25" x14ac:dyDescent="0.25">
      <c r="A46" s="31" t="s">
        <v>49</v>
      </c>
      <c r="B46" s="21">
        <v>3.9</v>
      </c>
      <c r="C46" s="21">
        <v>2.9</v>
      </c>
      <c r="D46" s="21">
        <v>7</v>
      </c>
      <c r="E46" s="22">
        <v>3.2</v>
      </c>
      <c r="G46" s="31" t="s">
        <v>49</v>
      </c>
      <c r="H46" s="25">
        <f t="shared" si="3"/>
        <v>-0.62244621845553127</v>
      </c>
      <c r="I46" s="25">
        <f t="shared" si="0"/>
        <v>-0.74354827878596896</v>
      </c>
      <c r="J46" s="25">
        <f t="shared" si="1"/>
        <v>0.47331826010922279</v>
      </c>
      <c r="K46" s="26">
        <f t="shared" si="2"/>
        <v>-0.84543742110725639</v>
      </c>
      <c r="M46" s="31" t="s">
        <v>49</v>
      </c>
      <c r="N46" s="41" cm="1">
        <f t="array" ref="N46">MMULT($H46:$K46,T$31:T$34)</f>
        <v>-0.81321985193078383</v>
      </c>
      <c r="O46" s="42" cm="1">
        <f t="array" ref="O46">MMULT($H46:$K46,U$31:U$34)</f>
        <v>0.44068038289212785</v>
      </c>
      <c r="P46" s="42" cm="1">
        <f t="array" ref="P46">MMULT($H46:$K46,V$31:V$34)</f>
        <v>0.24948326190077241</v>
      </c>
      <c r="Q46" s="43" cm="1">
        <f t="array" ref="Q46">MMULT($H46:$K46,W$31:W$34)</f>
        <v>-7.3584741685449817E-2</v>
      </c>
      <c r="S46" s="9" t="s">
        <v>2</v>
      </c>
      <c r="T46" s="4">
        <f>CORREL($C$2:$C$101,N2:N101)</f>
        <v>0.93403313279169653</v>
      </c>
      <c r="U46" s="4">
        <f>CORREL($C$2:$C$101,O2:O101)</f>
        <v>4.8580644299276964E-2</v>
      </c>
      <c r="V46" s="4">
        <f t="shared" ref="V46:W46" si="8">CORREL($C$2:$C$101,P2:P101)</f>
        <v>-0.11978322281718856</v>
      </c>
      <c r="W46" s="4">
        <f t="shared" si="8"/>
        <v>-0.33297585392913875</v>
      </c>
      <c r="Y46" s="4">
        <f>(T46^2)+(U46^2)+(V46^2)+(W46^2)</f>
        <v>0.99999891192151535</v>
      </c>
    </row>
    <row r="47" spans="1:25" x14ac:dyDescent="0.25">
      <c r="A47" s="31" t="s">
        <v>50</v>
      </c>
      <c r="B47" s="21">
        <v>4</v>
      </c>
      <c r="C47" s="21">
        <v>3.9</v>
      </c>
      <c r="D47" s="21">
        <v>7</v>
      </c>
      <c r="E47" s="22">
        <v>4.8</v>
      </c>
      <c r="G47" s="31" t="s">
        <v>50</v>
      </c>
      <c r="H47" s="25">
        <f t="shared" si="3"/>
        <v>-0.59026182246506942</v>
      </c>
      <c r="I47" s="25">
        <f t="shared" si="0"/>
        <v>-0.33433073404960695</v>
      </c>
      <c r="J47" s="25">
        <f t="shared" si="1"/>
        <v>0.47331826010922279</v>
      </c>
      <c r="K47" s="26">
        <f t="shared" si="2"/>
        <v>-0.20556047041113057</v>
      </c>
      <c r="M47" s="31" t="s">
        <v>50</v>
      </c>
      <c r="N47" s="41" cm="1">
        <f t="array" ref="N47">MMULT($H47:$K47,T$31:T$34)</f>
        <v>-0.416792755999293</v>
      </c>
      <c r="O47" s="42" cm="1">
        <f t="array" ref="O47">MMULT($H47:$K47,U$31:U$34)</f>
        <v>0.45429929093740329</v>
      </c>
      <c r="P47" s="42" cm="1">
        <f t="array" ref="P47">MMULT($H47:$K47,V$31:V$34)</f>
        <v>-0.52204232452067523</v>
      </c>
      <c r="Q47" s="43" cm="1">
        <f t="array" ref="Q47">MMULT($H47:$K47,W$31:W$34)</f>
        <v>8.8996625773145432E-2</v>
      </c>
      <c r="S47" s="9" t="s">
        <v>3</v>
      </c>
      <c r="T47" s="4">
        <f>CORREL($D$2:$D$101,N2:N101)</f>
        <v>-4.2466483708816748E-2</v>
      </c>
      <c r="U47" s="4">
        <f>CORREL($D$2:$D$101,O2:O101)</f>
        <v>0.99893259553854863</v>
      </c>
      <c r="V47" s="8">
        <f>CORREL($D$2:$D$101,P2:P101)</f>
        <v>-3.5835162827132063E-4</v>
      </c>
      <c r="W47" s="4">
        <f>CORREL($D$2:$D$101,Q2:Q101)</f>
        <v>1.8169582472674757E-2</v>
      </c>
      <c r="Y47" s="4">
        <f>(T47^2)+(U47^2)+(V47^2)+(W47^2)</f>
        <v>0.99999999481109358</v>
      </c>
    </row>
    <row r="48" spans="1:25" x14ac:dyDescent="0.25">
      <c r="A48" s="31" t="s">
        <v>51</v>
      </c>
      <c r="B48" s="21">
        <v>2.7</v>
      </c>
      <c r="C48" s="21">
        <v>2.6</v>
      </c>
      <c r="D48" s="21">
        <v>8</v>
      </c>
      <c r="E48" s="22">
        <v>3.8</v>
      </c>
      <c r="G48" s="31" t="s">
        <v>51</v>
      </c>
      <c r="H48" s="25">
        <f t="shared" si="3"/>
        <v>-1.0086589703410729</v>
      </c>
      <c r="I48" s="25">
        <f t="shared" si="0"/>
        <v>-0.86631354220687751</v>
      </c>
      <c r="J48" s="25">
        <f t="shared" si="1"/>
        <v>0.82866229923026125</v>
      </c>
      <c r="K48" s="26">
        <f t="shared" si="2"/>
        <v>-0.60548356459620933</v>
      </c>
      <c r="M48" s="31" t="s">
        <v>51</v>
      </c>
      <c r="N48" s="41" cm="1">
        <f t="array" ref="N48">MMULT($H48:$K48,T$31:T$34)</f>
        <v>-0.91463084769783098</v>
      </c>
      <c r="O48" s="42" cm="1">
        <f t="array" ref="O48">MMULT($H48:$K48,U$31:U$34)</f>
        <v>0.78438264534054714</v>
      </c>
      <c r="P48" s="42" cm="1">
        <f t="array" ref="P48">MMULT($H48:$K48,V$31:V$34)</f>
        <v>-0.51353079425406734</v>
      </c>
      <c r="Q48" s="43" cm="1">
        <f t="array" ref="Q48">MMULT($H48:$K48,W$31:W$34)</f>
        <v>0.33526290481005494</v>
      </c>
      <c r="S48" s="9" t="s">
        <v>4</v>
      </c>
      <c r="T48" s="4">
        <f>CORREL($E$2:$E$101,N2:N101)</f>
        <v>0.91769720289190637</v>
      </c>
      <c r="U48" s="4">
        <f>CORREL($E$2:$E$101,O2:O101)</f>
        <v>-1.013322464798991E-2</v>
      </c>
      <c r="V48" s="4">
        <f>CORREL($E$2:$E$101,P2:P101)</f>
        <v>-0.30420974721208671</v>
      </c>
      <c r="W48" s="4">
        <f>CORREL($E$2:$E$101,Q2:Q101)</f>
        <v>0.25531681138335877</v>
      </c>
      <c r="Y48" s="4">
        <f>(T48^2)+(U48^2)+(V48^2)+(W48^2)</f>
        <v>1.0000010829112027</v>
      </c>
    </row>
    <row r="49" spans="1:23" x14ac:dyDescent="0.25">
      <c r="A49" s="31" t="s">
        <v>52</v>
      </c>
      <c r="B49" s="21">
        <v>5.4</v>
      </c>
      <c r="C49" s="21">
        <v>3.5</v>
      </c>
      <c r="D49" s="21">
        <v>9</v>
      </c>
      <c r="E49" s="22">
        <v>4.5</v>
      </c>
      <c r="G49" s="31" t="s">
        <v>52</v>
      </c>
      <c r="H49" s="25">
        <f t="shared" si="3"/>
        <v>-0.13968027859860402</v>
      </c>
      <c r="I49" s="25">
        <f t="shared" si="0"/>
        <v>-0.49801775194415171</v>
      </c>
      <c r="J49" s="25">
        <f t="shared" si="1"/>
        <v>1.1840063383512995</v>
      </c>
      <c r="K49" s="26">
        <f t="shared" si="2"/>
        <v>-0.3255373986666541</v>
      </c>
      <c r="M49" s="31" t="s">
        <v>52</v>
      </c>
      <c r="N49" s="41" cm="1">
        <f t="array" ref="N49">MMULT($H49:$K49,T$31:T$34)</f>
        <v>-0.37299927064187322</v>
      </c>
      <c r="O49" s="42" cm="1">
        <f t="array" ref="O49">MMULT($H49:$K49,U$31:U$34)</f>
        <v>1.1604173205554842</v>
      </c>
      <c r="P49" s="42" cm="1">
        <f t="array" ref="P49">MMULT($H49:$K49,V$31:V$34)</f>
        <v>0.32679752270913537</v>
      </c>
      <c r="Q49" s="43" cm="1">
        <f t="array" ref="Q49">MMULT($H49:$K49,W$31:W$34)</f>
        <v>0.5010930854498673</v>
      </c>
    </row>
    <row r="50" spans="1:23" x14ac:dyDescent="0.25">
      <c r="A50" s="31" t="s">
        <v>53</v>
      </c>
      <c r="B50" s="21">
        <v>2.7</v>
      </c>
      <c r="C50" s="21">
        <v>2.7</v>
      </c>
      <c r="D50" s="21">
        <v>8</v>
      </c>
      <c r="E50" s="22">
        <v>3.6</v>
      </c>
      <c r="G50" s="31" t="s">
        <v>53</v>
      </c>
      <c r="H50" s="25">
        <f t="shared" si="3"/>
        <v>-1.0086589703410729</v>
      </c>
      <c r="I50" s="25">
        <f t="shared" si="0"/>
        <v>-0.82539178773324129</v>
      </c>
      <c r="J50" s="25">
        <f t="shared" si="1"/>
        <v>0.82866229923026125</v>
      </c>
      <c r="K50" s="26">
        <f t="shared" si="2"/>
        <v>-0.68546818343322491</v>
      </c>
      <c r="M50" s="31" t="s">
        <v>53</v>
      </c>
      <c r="N50" s="41" cm="1">
        <f t="array" ref="N50">MMULT($H50:$K50,T$31:T$34)</f>
        <v>-0.92860132161939557</v>
      </c>
      <c r="O50" s="42" cm="1">
        <f t="array" ref="O50">MMULT($H50:$K50,U$31:U$34)</f>
        <v>0.78718009034900127</v>
      </c>
      <c r="P50" s="42" cm="1">
        <f t="array" ref="P50">MMULT($H50:$K50,V$31:V$34)</f>
        <v>-0.44824416081042195</v>
      </c>
      <c r="Q50" s="43" cm="1">
        <f t="array" ref="Q50">MMULT($H50:$K50,W$31:W$34)</f>
        <v>0.1501004280833842</v>
      </c>
      <c r="S50" s="33" t="s">
        <v>140</v>
      </c>
      <c r="T50" s="4">
        <f>(T45^2)+(T46^2)+(T47^2)+(T48^2)</f>
        <v>2.5181268107029351</v>
      </c>
      <c r="U50" s="4">
        <f>(U45^2)+(U46^2)+(U47^2)+(U48^2)</f>
        <v>1.0003792987519913</v>
      </c>
      <c r="V50" s="4">
        <f>(V45^2)+(V46^2)+(V47^2)+(V48^2)</f>
        <v>0.29761584834010613</v>
      </c>
      <c r="W50" s="4">
        <f>(W45^2)+(W46^2)+(W47^2)+(W48^2)</f>
        <v>0.18387804221336546</v>
      </c>
    </row>
    <row r="51" spans="1:23" x14ac:dyDescent="0.25">
      <c r="A51" s="31" t="s">
        <v>54</v>
      </c>
      <c r="B51" s="21">
        <v>3</v>
      </c>
      <c r="C51" s="21">
        <v>3.4</v>
      </c>
      <c r="D51" s="21">
        <v>9</v>
      </c>
      <c r="E51" s="22">
        <v>4</v>
      </c>
      <c r="G51" s="31" t="s">
        <v>54</v>
      </c>
      <c r="H51" s="25">
        <f t="shared" si="3"/>
        <v>-0.91210578236968753</v>
      </c>
      <c r="I51" s="25">
        <f t="shared" si="0"/>
        <v>-0.53893950641778798</v>
      </c>
      <c r="J51" s="25">
        <f t="shared" si="1"/>
        <v>1.1840063383512995</v>
      </c>
      <c r="K51" s="26">
        <f t="shared" si="2"/>
        <v>-0.52549894575919343</v>
      </c>
      <c r="M51" s="31" t="s">
        <v>54</v>
      </c>
      <c r="N51" s="41" cm="1">
        <f t="array" ref="N51">MMULT($H51:$K51,T$31:T$34)</f>
        <v>-0.73571097846474109</v>
      </c>
      <c r="O51" s="42" cm="1">
        <f t="array" ref="O51">MMULT($H51:$K51,U$31:U$34)</f>
        <v>1.1549844763296233</v>
      </c>
      <c r="P51" s="42" cm="1">
        <f t="array" ref="P51">MMULT($H51:$K51,V$31:V$34)</f>
        <v>-0.58579355855774828</v>
      </c>
      <c r="Q51" s="43" cm="1">
        <f t="array" ref="Q51">MMULT($H51:$K51,W$31:W$34)</f>
        <v>-6.5955849254629162E-2</v>
      </c>
    </row>
    <row r="52" spans="1:23" x14ac:dyDescent="0.25">
      <c r="A52" s="31" t="s">
        <v>55</v>
      </c>
      <c r="B52" s="21">
        <v>1.1000000000000001</v>
      </c>
      <c r="C52" s="21">
        <v>1.9</v>
      </c>
      <c r="D52" s="21">
        <v>1.7</v>
      </c>
      <c r="E52" s="22">
        <v>1.7</v>
      </c>
      <c r="G52" s="31" t="s">
        <v>55</v>
      </c>
      <c r="H52" s="25">
        <f t="shared" si="3"/>
        <v>-1.5236093061884619</v>
      </c>
      <c r="I52" s="25">
        <f t="shared" si="0"/>
        <v>-1.152765823522331</v>
      </c>
      <c r="J52" s="25">
        <f t="shared" si="1"/>
        <v>-1.4100051472322808</v>
      </c>
      <c r="K52" s="26">
        <f t="shared" si="2"/>
        <v>-1.4453220623848744</v>
      </c>
      <c r="M52" s="31" t="s">
        <v>55</v>
      </c>
      <c r="N52" s="41" cm="1">
        <f t="array" ref="N52">MMULT($H52:$K52,T$31:T$34)</f>
        <v>-1.4723033767941505</v>
      </c>
      <c r="O52" s="42" cm="1">
        <f t="array" ref="O52">MMULT($H52:$K52,U$31:U$34)</f>
        <v>-1.4600983179683387</v>
      </c>
      <c r="P52" s="42" cm="1">
        <f t="array" ref="P52">MMULT($H52:$K52,V$31:V$34)</f>
        <v>-0.29273603220172362</v>
      </c>
      <c r="Q52" s="43" cm="1">
        <f t="array" ref="Q52">MMULT($H52:$K52,W$31:W$34)</f>
        <v>-0.77567825801887635</v>
      </c>
    </row>
    <row r="53" spans="1:23" x14ac:dyDescent="0.25">
      <c r="A53" s="31" t="s">
        <v>56</v>
      </c>
      <c r="B53" s="21">
        <v>1.8</v>
      </c>
      <c r="C53" s="21">
        <v>3.4</v>
      </c>
      <c r="D53" s="21">
        <v>10</v>
      </c>
      <c r="E53" s="22">
        <v>2.7</v>
      </c>
      <c r="G53" s="31" t="s">
        <v>56</v>
      </c>
      <c r="H53" s="25">
        <f t="shared" si="3"/>
        <v>-1.2983185342552293</v>
      </c>
      <c r="I53" s="25">
        <f t="shared" si="0"/>
        <v>-0.53893950641778798</v>
      </c>
      <c r="J53" s="25">
        <f t="shared" si="1"/>
        <v>1.539350377472338</v>
      </c>
      <c r="K53" s="26">
        <f t="shared" si="2"/>
        <v>-1.0453989681997957</v>
      </c>
      <c r="M53" s="31" t="s">
        <v>56</v>
      </c>
      <c r="N53" s="41" cm="1">
        <f t="array" ref="N53">MMULT($H53:$K53,T$31:T$34)</f>
        <v>-1.0685039493258046</v>
      </c>
      <c r="O53" s="42" cm="1">
        <f t="array" ref="O53">MMULT($H53:$K53,U$31:U$34)</f>
        <v>1.5123453390380341</v>
      </c>
      <c r="P53" s="42" cm="1">
        <f t="array" ref="P53">MMULT($H53:$K53,V$31:V$34)</f>
        <v>-0.62152970139522323</v>
      </c>
      <c r="Q53" s="43" cm="1">
        <f t="array" ref="Q53">MMULT($H53:$K53,W$31:W$34)</f>
        <v>-0.93447844004029146</v>
      </c>
    </row>
    <row r="54" spans="1:23" x14ac:dyDescent="0.25">
      <c r="A54" s="31" t="s">
        <v>57</v>
      </c>
      <c r="B54" s="21">
        <v>1.3</v>
      </c>
      <c r="C54" s="21">
        <v>2.5</v>
      </c>
      <c r="D54" s="21">
        <v>10</v>
      </c>
      <c r="E54" s="22">
        <v>2.2999999999999998</v>
      </c>
      <c r="G54" s="31" t="s">
        <v>57</v>
      </c>
      <c r="H54" s="25">
        <f t="shared" si="3"/>
        <v>-1.4592405142075384</v>
      </c>
      <c r="I54" s="25">
        <f t="shared" si="0"/>
        <v>-0.90723529668051373</v>
      </c>
      <c r="J54" s="25">
        <f t="shared" si="1"/>
        <v>1.539350377472338</v>
      </c>
      <c r="K54" s="26">
        <f t="shared" si="2"/>
        <v>-1.2053682058738273</v>
      </c>
      <c r="M54" s="31" t="s">
        <v>57</v>
      </c>
      <c r="N54" s="41" cm="1">
        <f t="array" ref="N54">MMULT($H54:$K54,T$31:T$34)</f>
        <v>-1.3206329039187228</v>
      </c>
      <c r="O54" s="42" cm="1">
        <f t="array" ref="O54">MMULT($H54:$K54,U$31:U$34)</f>
        <v>1.4949406666912444</v>
      </c>
      <c r="P54" s="42" cm="1">
        <f t="array" ref="P54">MMULT($H54:$K54,V$31:V$34)</f>
        <v>-0.54592257131816813</v>
      </c>
      <c r="Q54" s="43" cm="1">
        <f t="array" ref="Q54">MMULT($H54:$K54,W$31:W$34)</f>
        <v>-0.5653942445127389</v>
      </c>
    </row>
    <row r="55" spans="1:23" x14ac:dyDescent="0.25">
      <c r="A55" s="31" t="s">
        <v>58</v>
      </c>
      <c r="B55" s="21">
        <v>2</v>
      </c>
      <c r="C55" s="21">
        <v>2.2999999999999998</v>
      </c>
      <c r="D55" s="21">
        <v>8</v>
      </c>
      <c r="E55" s="22">
        <v>4.3</v>
      </c>
      <c r="G55" s="31" t="s">
        <v>58</v>
      </c>
      <c r="H55" s="25">
        <f t="shared" si="3"/>
        <v>-1.2339497422743055</v>
      </c>
      <c r="I55" s="25">
        <f t="shared" si="0"/>
        <v>-0.98907880562778627</v>
      </c>
      <c r="J55" s="25">
        <f t="shared" si="1"/>
        <v>0.82866229923026125</v>
      </c>
      <c r="K55" s="26">
        <f t="shared" si="2"/>
        <v>-0.4055220175036699</v>
      </c>
      <c r="M55" s="31" t="s">
        <v>58</v>
      </c>
      <c r="N55" s="41" cm="1">
        <f t="array" ref="N55">MMULT($H55:$K55,T$31:T$34)</f>
        <v>-0.96740312691233665</v>
      </c>
      <c r="O55" s="42" cm="1">
        <f t="array" ref="O55">MMULT($H55:$K55,U$31:U$34)</f>
        <v>0.77479967582912801</v>
      </c>
      <c r="P55" s="42" cm="1">
        <f t="array" ref="P55">MMULT($H55:$K55,V$31:V$34)</f>
        <v>-0.9991027300868488</v>
      </c>
      <c r="Q55" s="43" cm="1">
        <f t="array" ref="Q55">MMULT($H55:$K55,W$31:W$34)</f>
        <v>0.7291985136352368</v>
      </c>
    </row>
    <row r="56" spans="1:23" x14ac:dyDescent="0.25">
      <c r="A56" s="31" t="s">
        <v>59</v>
      </c>
      <c r="B56" s="21">
        <v>0.6</v>
      </c>
      <c r="C56" s="21">
        <v>1.9</v>
      </c>
      <c r="D56" s="21">
        <v>3</v>
      </c>
      <c r="E56" s="22">
        <v>3.2</v>
      </c>
      <c r="G56" s="31" t="s">
        <v>59</v>
      </c>
      <c r="H56" s="25">
        <f t="shared" si="3"/>
        <v>-1.6845312861407711</v>
      </c>
      <c r="I56" s="25">
        <f t="shared" si="0"/>
        <v>-1.152765823522331</v>
      </c>
      <c r="J56" s="25">
        <f t="shared" si="1"/>
        <v>-0.94805789637493088</v>
      </c>
      <c r="K56" s="26">
        <f t="shared" si="2"/>
        <v>-0.84543742110725639</v>
      </c>
      <c r="M56" s="31" t="s">
        <v>59</v>
      </c>
      <c r="N56" s="41" cm="1">
        <f t="array" ref="N56">MMULT($H56:$K56,T$31:T$34)</f>
        <v>-1.3186946709126477</v>
      </c>
      <c r="O56" s="42" cm="1">
        <f t="array" ref="O56">MMULT($H56:$K56,U$31:U$34)</f>
        <v>-1.0060354072520969</v>
      </c>
      <c r="P56" s="42" cm="1">
        <f t="array" ref="P56">MMULT($H56:$K56,V$31:V$34)</f>
        <v>-1.1426028296493325</v>
      </c>
      <c r="Q56" s="43" cm="1">
        <f t="array" ref="Q56">MMULT($H56:$K56,W$31:W$34)</f>
        <v>2.7179891026920755E-2</v>
      </c>
    </row>
    <row r="57" spans="1:23" x14ac:dyDescent="0.25">
      <c r="A57" s="31" t="s">
        <v>60</v>
      </c>
      <c r="B57" s="21">
        <v>5.7</v>
      </c>
      <c r="C57" s="21">
        <v>4.4000000000000004</v>
      </c>
      <c r="D57" s="21">
        <v>6</v>
      </c>
      <c r="E57" s="22">
        <v>6.5</v>
      </c>
      <c r="G57" s="31" t="s">
        <v>60</v>
      </c>
      <c r="H57" s="25">
        <f t="shared" si="3"/>
        <v>-4.3127090627218645E-2</v>
      </c>
      <c r="I57" s="25">
        <f t="shared" si="0"/>
        <v>-0.12972196168142575</v>
      </c>
      <c r="J57" s="25">
        <f t="shared" si="1"/>
        <v>0.11797422098818439</v>
      </c>
      <c r="K57" s="26">
        <f t="shared" si="2"/>
        <v>0.47430878970350332</v>
      </c>
      <c r="M57" s="31" t="s">
        <v>60</v>
      </c>
      <c r="N57" s="41" cm="1">
        <f t="array" ref="N57">MMULT($H57:$K57,T$31:T$34)</f>
        <v>0.10741380155367224</v>
      </c>
      <c r="O57" s="42" cm="1">
        <f t="array" ref="O57">MMULT($H57:$K57,U$31:U$34)</f>
        <v>0.10639409914789172</v>
      </c>
      <c r="P57" s="42" cm="1">
        <f t="array" ref="P57">MMULT($H57:$K57,V$31:V$34)</f>
        <v>-0.49603337600472913</v>
      </c>
      <c r="Q57" s="43" cm="1">
        <f t="array" ref="Q57">MMULT($H57:$K57,W$31:W$34)</f>
        <v>0.88484935433722722</v>
      </c>
    </row>
    <row r="58" spans="1:23" x14ac:dyDescent="0.25">
      <c r="A58" s="31" t="s">
        <v>61</v>
      </c>
      <c r="B58" s="21">
        <v>0.7</v>
      </c>
      <c r="C58" s="21">
        <v>1.9</v>
      </c>
      <c r="D58" s="21">
        <v>2.8</v>
      </c>
      <c r="E58" s="22">
        <v>2.8</v>
      </c>
      <c r="G58" s="31" t="s">
        <v>61</v>
      </c>
      <c r="H58" s="25">
        <f t="shared" si="3"/>
        <v>-1.6523468901503091</v>
      </c>
      <c r="I58" s="25">
        <f t="shared" si="0"/>
        <v>-1.152765823522331</v>
      </c>
      <c r="J58" s="25">
        <f t="shared" si="1"/>
        <v>-1.0191267041991385</v>
      </c>
      <c r="K58" s="26">
        <f t="shared" si="2"/>
        <v>-1.005406658781288</v>
      </c>
      <c r="M58" s="31" t="s">
        <v>61</v>
      </c>
      <c r="N58" s="41" cm="1">
        <f t="array" ref="N58">MMULT($H58:$K58,T$31:T$34)</f>
        <v>-1.3643506278060951</v>
      </c>
      <c r="O58" s="42" cm="1">
        <f t="array" ref="O58">MMULT($H58:$K58,U$31:U$34)</f>
        <v>-1.0751530838062502</v>
      </c>
      <c r="P58" s="42" cm="1">
        <f t="array" ref="P58">MMULT($H58:$K58,V$31:V$34)</f>
        <v>-0.93177683255811816</v>
      </c>
      <c r="Q58" s="43" cm="1">
        <f t="array" ref="Q58">MMULT($H58:$K58,W$31:W$34)</f>
        <v>-0.18681441396748166</v>
      </c>
    </row>
    <row r="59" spans="1:23" x14ac:dyDescent="0.25">
      <c r="A59" s="31" t="s">
        <v>62</v>
      </c>
      <c r="B59" s="21">
        <v>4.0999999999999996</v>
      </c>
      <c r="C59" s="21">
        <v>3</v>
      </c>
      <c r="D59" s="21">
        <v>3</v>
      </c>
      <c r="E59" s="22">
        <v>3</v>
      </c>
      <c r="G59" s="31" t="s">
        <v>62</v>
      </c>
      <c r="H59" s="25">
        <f t="shared" si="3"/>
        <v>-0.55807742647460779</v>
      </c>
      <c r="I59" s="25">
        <f t="shared" si="0"/>
        <v>-0.70262652431233275</v>
      </c>
      <c r="J59" s="25">
        <f t="shared" si="1"/>
        <v>-0.94805789637493088</v>
      </c>
      <c r="K59" s="26">
        <f t="shared" si="2"/>
        <v>-0.92542203994427219</v>
      </c>
      <c r="M59" s="31" t="s">
        <v>62</v>
      </c>
      <c r="N59" s="41" cm="1">
        <f t="array" ref="N59">MMULT($H59:$K59,T$31:T$34)</f>
        <v>-0.78033150992771949</v>
      </c>
      <c r="O59" s="42" cm="1">
        <f t="array" ref="O59">MMULT($H59:$K59,U$31:U$34)</f>
        <v>-0.97538679961492813</v>
      </c>
      <c r="P59" s="42" cm="1">
        <f t="array" ref="P59">MMULT($H59:$K59,V$31:V$34)</f>
        <v>0.41093568537103609</v>
      </c>
      <c r="Q59" s="43" cm="1">
        <f t="array" ref="Q59">MMULT($H59:$K59,W$31:W$34)</f>
        <v>-0.36890654569097037</v>
      </c>
    </row>
    <row r="60" spans="1:23" x14ac:dyDescent="0.25">
      <c r="A60" s="31" t="s">
        <v>63</v>
      </c>
      <c r="B60" s="21">
        <v>3.5</v>
      </c>
      <c r="C60" s="21">
        <v>3.6</v>
      </c>
      <c r="D60" s="21">
        <v>2.4</v>
      </c>
      <c r="E60" s="22">
        <v>2.4</v>
      </c>
      <c r="G60" s="31" t="s">
        <v>63</v>
      </c>
      <c r="H60" s="25">
        <f t="shared" si="3"/>
        <v>-0.75118380241737848</v>
      </c>
      <c r="I60" s="25">
        <f t="shared" si="0"/>
        <v>-0.45709599747051549</v>
      </c>
      <c r="J60" s="25">
        <f t="shared" si="1"/>
        <v>-1.1612643198475538</v>
      </c>
      <c r="K60" s="26">
        <f t="shared" si="2"/>
        <v>-1.1653758964553194</v>
      </c>
      <c r="M60" s="31" t="s">
        <v>63</v>
      </c>
      <c r="N60" s="41" cm="1">
        <f t="array" ref="N60">MMULT($H60:$K60,T$31:T$34)</f>
        <v>-0.84177572210566787</v>
      </c>
      <c r="O60" s="42" cm="1">
        <f t="array" ref="O60">MMULT($H60:$K60,U$31:U$34)</f>
        <v>-1.175298566276592</v>
      </c>
      <c r="P60" s="42" cm="1">
        <f t="array" ref="P60">MMULT($H60:$K60,V$31:V$34)</f>
        <v>0.27427919261552469</v>
      </c>
      <c r="Q60" s="43" cm="1">
        <f t="array" ref="Q60">MMULT($H60:$K60,W$31:W$34)</f>
        <v>-1.2586487621315579</v>
      </c>
    </row>
    <row r="61" spans="1:23" x14ac:dyDescent="0.25">
      <c r="A61" s="31" t="s">
        <v>64</v>
      </c>
      <c r="B61" s="21">
        <v>2.4</v>
      </c>
      <c r="C61" s="21">
        <v>3</v>
      </c>
      <c r="D61" s="21">
        <v>2.2999999999999998</v>
      </c>
      <c r="E61" s="22">
        <v>2.2999999999999998</v>
      </c>
      <c r="G61" s="31" t="s">
        <v>64</v>
      </c>
      <c r="H61" s="25">
        <f t="shared" si="3"/>
        <v>-1.1052121583124583</v>
      </c>
      <c r="I61" s="25">
        <f t="shared" si="0"/>
        <v>-0.70262652431233275</v>
      </c>
      <c r="J61" s="25">
        <f t="shared" si="1"/>
        <v>-1.1967987237596578</v>
      </c>
      <c r="K61" s="26">
        <f t="shared" si="2"/>
        <v>-1.2053682058738273</v>
      </c>
      <c r="M61" s="31" t="s">
        <v>64</v>
      </c>
      <c r="N61" s="41" cm="1">
        <f t="array" ref="N61">MMULT($H61:$K61,T$31:T$34)</f>
        <v>-1.0727098080060913</v>
      </c>
      <c r="O61" s="42" cm="1">
        <f t="array" ref="O61">MMULT($H61:$K61,U$31:U$34)</f>
        <v>-1.2248075634263413</v>
      </c>
      <c r="P61" s="42" cm="1">
        <f t="array" ref="P61">MMULT($H61:$K61,V$31:V$34)</f>
        <v>-0.10547892221409061</v>
      </c>
      <c r="Q61" s="43" cm="1">
        <f t="array" ref="Q61">MMULT($H61:$K61,W$31:W$34)</f>
        <v>-1.0396745834739312</v>
      </c>
    </row>
    <row r="62" spans="1:23" x14ac:dyDescent="0.25">
      <c r="A62" s="31" t="s">
        <v>65</v>
      </c>
      <c r="B62" s="21">
        <v>6.8</v>
      </c>
      <c r="C62" s="21">
        <v>4.7</v>
      </c>
      <c r="D62" s="21">
        <v>5</v>
      </c>
      <c r="E62" s="22">
        <v>4.9000000000000004</v>
      </c>
      <c r="G62" s="31" t="s">
        <v>65</v>
      </c>
      <c r="H62" s="25">
        <f t="shared" si="3"/>
        <v>0.3109012652678611</v>
      </c>
      <c r="I62" s="25">
        <f t="shared" si="0"/>
        <v>-6.9566982605172066E-3</v>
      </c>
      <c r="J62" s="25">
        <f t="shared" si="1"/>
        <v>-0.23736981813285402</v>
      </c>
      <c r="K62" s="26">
        <f t="shared" si="2"/>
        <v>-0.16556816099262248</v>
      </c>
      <c r="M62" s="31" t="s">
        <v>65</v>
      </c>
      <c r="N62" s="41" cm="1">
        <f t="array" ref="N62">MMULT($H62:$K62,T$31:T$34)</f>
        <v>5.1634068832226668E-2</v>
      </c>
      <c r="O62" s="42" cm="1">
        <f t="array" ref="O62">MMULT($H62:$K62,U$31:U$34)</f>
        <v>-0.2334851517305202</v>
      </c>
      <c r="P62" s="42" cm="1">
        <f t="array" ref="P62">MMULT($H62:$K62,V$31:V$34)</f>
        <v>0.6285365750351608</v>
      </c>
      <c r="Q62" s="43" cm="1">
        <f t="array" ref="Q62">MMULT($H62:$K62,W$31:W$34)</f>
        <v>-9.4438812681272216E-2</v>
      </c>
    </row>
    <row r="63" spans="1:23" x14ac:dyDescent="0.25">
      <c r="A63" s="31" t="s">
        <v>66</v>
      </c>
      <c r="B63" s="21">
        <v>1.4</v>
      </c>
      <c r="C63" s="21">
        <v>2.2999999999999998</v>
      </c>
      <c r="D63" s="21">
        <v>5</v>
      </c>
      <c r="E63" s="22">
        <v>5.7</v>
      </c>
      <c r="G63" s="31" t="s">
        <v>66</v>
      </c>
      <c r="H63" s="25">
        <f t="shared" si="3"/>
        <v>-1.4270561182170762</v>
      </c>
      <c r="I63" s="25">
        <f t="shared" si="0"/>
        <v>-0.98907880562778627</v>
      </c>
      <c r="J63" s="25">
        <f t="shared" si="1"/>
        <v>-0.23736981813285402</v>
      </c>
      <c r="K63" s="26">
        <f t="shared" si="2"/>
        <v>0.15437031435544044</v>
      </c>
      <c r="M63" s="31" t="s">
        <v>66</v>
      </c>
      <c r="N63" s="41" cm="1">
        <f t="array" ref="N63">MMULT($H63:$K63,T$31:T$34)</f>
        <v>-0.81404492122412275</v>
      </c>
      <c r="O63" s="42" cm="1">
        <f t="array" ref="O63">MMULT($H63:$K63,U$31:U$34)</f>
        <v>-0.29672987002337164</v>
      </c>
      <c r="P63" s="42" cm="1">
        <f t="array" ref="P63">MMULT($H63:$K63,V$31:V$34)</f>
        <v>-1.8534786494514783</v>
      </c>
      <c r="Q63" s="43" cm="1">
        <f t="array" ref="Q63">MMULT($H63:$K63,W$31:W$34)</f>
        <v>1.3103958705615484</v>
      </c>
    </row>
    <row r="64" spans="1:23" x14ac:dyDescent="0.25">
      <c r="A64" s="31" t="s">
        <v>67</v>
      </c>
      <c r="B64" s="21">
        <v>8.3000000000000007</v>
      </c>
      <c r="C64" s="21">
        <v>4</v>
      </c>
      <c r="D64" s="21">
        <v>9</v>
      </c>
      <c r="E64" s="22">
        <v>3.4</v>
      </c>
      <c r="G64" s="31" t="s">
        <v>67</v>
      </c>
      <c r="H64" s="25">
        <f t="shared" si="3"/>
        <v>0.7936672051247885</v>
      </c>
      <c r="I64" s="25">
        <f t="shared" si="0"/>
        <v>-0.29340897957597073</v>
      </c>
      <c r="J64" s="25">
        <f t="shared" si="1"/>
        <v>1.1840063383512995</v>
      </c>
      <c r="K64" s="26">
        <f t="shared" si="2"/>
        <v>-0.76545280227024071</v>
      </c>
      <c r="M64" s="31" t="s">
        <v>67</v>
      </c>
      <c r="N64" s="41" cm="1">
        <f t="array" ref="N64">MMULT($H64:$K64,T$31:T$34)</f>
        <v>-0.12554597707054635</v>
      </c>
      <c r="O64" s="42" cm="1">
        <f t="array" ref="O64">MMULT($H64:$K64,U$31:U$34)</f>
        <v>1.1814205318580853</v>
      </c>
      <c r="P64" s="42" cm="1">
        <f t="array" ref="P64">MMULT($H64:$K64,V$31:V$34)</f>
        <v>2.0636975674186457</v>
      </c>
      <c r="Q64" s="43" cm="1">
        <f t="array" ref="Q64">MMULT($H64:$K64,W$31:W$34)</f>
        <v>-4.1013192742499927E-2</v>
      </c>
    </row>
    <row r="65" spans="1:17" x14ac:dyDescent="0.25">
      <c r="A65" s="31" t="s">
        <v>68</v>
      </c>
      <c r="B65" s="21">
        <v>9.1</v>
      </c>
      <c r="C65" s="21">
        <v>5.4</v>
      </c>
      <c r="D65" s="21">
        <v>6</v>
      </c>
      <c r="E65" s="22">
        <v>6</v>
      </c>
      <c r="G65" s="31" t="s">
        <v>68</v>
      </c>
      <c r="H65" s="25">
        <f t="shared" si="3"/>
        <v>1.0511423730484826</v>
      </c>
      <c r="I65" s="25">
        <f t="shared" si="0"/>
        <v>0.27949558305493627</v>
      </c>
      <c r="J65" s="25">
        <f t="shared" si="1"/>
        <v>0.11797422098818439</v>
      </c>
      <c r="K65" s="26">
        <f t="shared" si="2"/>
        <v>0.27434724261096399</v>
      </c>
      <c r="M65" s="31" t="s">
        <v>68</v>
      </c>
      <c r="N65" s="41" cm="1">
        <f t="array" ref="N65">MMULT($H65:$K65,T$31:T$34)</f>
        <v>0.57542999771371928</v>
      </c>
      <c r="O65" s="42" cm="1">
        <f t="array" ref="O65">MMULT($H65:$K65,U$31:U$34)</f>
        <v>0.13604278671791029</v>
      </c>
      <c r="P65" s="42" cm="1">
        <f t="array" ref="P65">MMULT($H65:$K65,V$31:V$34)</f>
        <v>1.1493828570007247</v>
      </c>
      <c r="Q65" s="43" cm="1">
        <f t="array" ref="Q65">MMULT($H65:$K65,W$31:W$34)</f>
        <v>0.38113210732345704</v>
      </c>
    </row>
    <row r="66" spans="1:17" x14ac:dyDescent="0.25">
      <c r="A66" s="31" t="s">
        <v>69</v>
      </c>
      <c r="B66" s="21">
        <v>7.7</v>
      </c>
      <c r="C66" s="21">
        <v>4.3</v>
      </c>
      <c r="D66" s="21">
        <v>8</v>
      </c>
      <c r="E66" s="22">
        <v>5.2</v>
      </c>
      <c r="G66" s="31" t="s">
        <v>69</v>
      </c>
      <c r="H66" s="25">
        <f t="shared" si="3"/>
        <v>0.60056082918201747</v>
      </c>
      <c r="I66" s="25">
        <f t="shared" ref="I66:I101" si="9">(C66-C$103)/C$104</f>
        <v>-0.17064371615506216</v>
      </c>
      <c r="J66" s="25">
        <f t="shared" ref="J66:J101" si="10">(D66-D$103)/D$104</f>
        <v>0.82866229923026125</v>
      </c>
      <c r="K66" s="26">
        <f t="shared" ref="K66:K101" si="11">(E66-E$103)/E$104</f>
        <v>-4.5591232737098926E-2</v>
      </c>
      <c r="M66" s="31" t="s">
        <v>69</v>
      </c>
      <c r="N66" s="41" cm="1">
        <f t="array" ref="N66">MMULT($H66:$K66,T$31:T$34)</f>
        <v>0.11966212737915183</v>
      </c>
      <c r="O66" s="42" cm="1">
        <f t="array" ref="O66">MMULT($H66:$K66,U$31:U$34)</f>
        <v>0.82389262321869572</v>
      </c>
      <c r="P66" s="42" cm="1">
        <f t="array" ref="P66">MMULT($H66:$K66,V$31:V$34)</f>
        <v>0.99554275848659435</v>
      </c>
      <c r="Q66" s="43" cm="1">
        <f t="array" ref="Q66">MMULT($H66:$K66,W$31:W$34)</f>
        <v>0.61021691816621793</v>
      </c>
    </row>
    <row r="67" spans="1:17" x14ac:dyDescent="0.25">
      <c r="A67" s="31" t="s">
        <v>70</v>
      </c>
      <c r="B67" s="21">
        <v>9</v>
      </c>
      <c r="C67" s="21">
        <v>4.0999999999999996</v>
      </c>
      <c r="D67" s="21">
        <v>7</v>
      </c>
      <c r="E67" s="22">
        <v>7</v>
      </c>
      <c r="G67" s="31" t="s">
        <v>70</v>
      </c>
      <c r="H67" s="25">
        <f t="shared" ref="H67:H101" si="12">(B67-B$103)/B$104</f>
        <v>1.018957977058021</v>
      </c>
      <c r="I67" s="25">
        <f t="shared" si="9"/>
        <v>-0.25248722510233462</v>
      </c>
      <c r="J67" s="25">
        <f t="shared" si="10"/>
        <v>0.47331826010922279</v>
      </c>
      <c r="K67" s="26">
        <f t="shared" si="11"/>
        <v>0.67427033679604276</v>
      </c>
      <c r="M67" s="31" t="s">
        <v>70</v>
      </c>
      <c r="N67" s="41" cm="1">
        <f t="array" ref="N67">MMULT($H67:$K67,T$31:T$34)</f>
        <v>0.50641485303615275</v>
      </c>
      <c r="O67" s="42" cm="1">
        <f t="array" ref="O67">MMULT($H67:$K67,U$31:U$34)</f>
        <v>0.46075973485503596</v>
      </c>
      <c r="P67" s="42" cm="1">
        <f t="array" ref="P67">MMULT($H67:$K67,V$31:V$34)</f>
        <v>0.90705451777310087</v>
      </c>
      <c r="Q67" s="43" cm="1">
        <f t="array" ref="Q67">MMULT($H67:$K67,W$31:W$34)</f>
        <v>1.919739962627417</v>
      </c>
    </row>
    <row r="68" spans="1:17" x14ac:dyDescent="0.25">
      <c r="A68" s="31" t="s">
        <v>71</v>
      </c>
      <c r="B68" s="21">
        <v>9.3000000000000007</v>
      </c>
      <c r="C68" s="21">
        <v>7</v>
      </c>
      <c r="D68" s="21">
        <v>7.1</v>
      </c>
      <c r="E68" s="22">
        <v>7.1</v>
      </c>
      <c r="G68" s="31" t="s">
        <v>71</v>
      </c>
      <c r="H68" s="25">
        <f t="shared" si="12"/>
        <v>1.1155111650294067</v>
      </c>
      <c r="I68" s="25">
        <f t="shared" si="9"/>
        <v>0.93424365463311543</v>
      </c>
      <c r="J68" s="25">
        <f t="shared" si="10"/>
        <v>0.50885266402132645</v>
      </c>
      <c r="K68" s="26">
        <f t="shared" si="11"/>
        <v>0.71426264621455049</v>
      </c>
      <c r="M68" s="31" t="s">
        <v>71</v>
      </c>
      <c r="N68" s="41" cm="1">
        <f t="array" ref="N68">MMULT($H68:$K68,T$31:T$34)</f>
        <v>0.99490911233223311</v>
      </c>
      <c r="O68" s="42" cm="1">
        <f t="array" ref="O68">MMULT($H68:$K68,U$31:U$34)</f>
        <v>0.55415179671595993</v>
      </c>
      <c r="P68" s="42" cm="1">
        <f t="array" ref="P68">MMULT($H68:$K68,V$31:V$34)</f>
        <v>0.53018546578774639</v>
      </c>
      <c r="Q68" s="43" cm="1">
        <f t="array" ref="Q68">MMULT($H68:$K68,W$31:W$34)</f>
        <v>-0.12478506071640272</v>
      </c>
    </row>
    <row r="69" spans="1:17" x14ac:dyDescent="0.25">
      <c r="A69" s="31" t="s">
        <v>72</v>
      </c>
      <c r="B69" s="21">
        <v>9</v>
      </c>
      <c r="C69" s="21">
        <v>8</v>
      </c>
      <c r="D69" s="21">
        <v>8.4</v>
      </c>
      <c r="E69" s="22">
        <v>8.4</v>
      </c>
      <c r="G69" s="31" t="s">
        <v>72</v>
      </c>
      <c r="H69" s="25">
        <f t="shared" si="12"/>
        <v>1.018957977058021</v>
      </c>
      <c r="I69" s="25">
        <f t="shared" si="9"/>
        <v>1.3434611993694774</v>
      </c>
      <c r="J69" s="25">
        <f t="shared" si="10"/>
        <v>0.97079991487867667</v>
      </c>
      <c r="K69" s="26">
        <f t="shared" si="11"/>
        <v>1.234162668655153</v>
      </c>
      <c r="M69" s="31" t="s">
        <v>72</v>
      </c>
      <c r="N69" s="41" cm="1">
        <f t="array" ref="N69">MMULT($H69:$K69,T$31:T$34)</f>
        <v>1.2940452200782557</v>
      </c>
      <c r="O69" s="42" cm="1">
        <f t="array" ref="O69">MMULT($H69:$K69,U$31:U$34)</f>
        <v>1.0293533290282098</v>
      </c>
      <c r="P69" s="42" cm="1">
        <f t="array" ref="P69">MMULT($H69:$K69,V$31:V$34)</f>
        <v>-0.30817016961097754</v>
      </c>
      <c r="Q69" s="43" cm="1">
        <f t="array" ref="Q69">MMULT($H69:$K69,W$31:W$34)</f>
        <v>-0.14372953129150301</v>
      </c>
    </row>
    <row r="70" spans="1:17" x14ac:dyDescent="0.25">
      <c r="A70" s="31" t="s">
        <v>73</v>
      </c>
      <c r="B70" s="21">
        <v>8.9</v>
      </c>
      <c r="C70" s="21">
        <v>5</v>
      </c>
      <c r="D70" s="21">
        <v>10</v>
      </c>
      <c r="E70" s="22">
        <v>4.5</v>
      </c>
      <c r="G70" s="31" t="s">
        <v>73</v>
      </c>
      <c r="H70" s="25">
        <f t="shared" si="12"/>
        <v>0.9867735810675593</v>
      </c>
      <c r="I70" s="25">
        <f t="shared" si="9"/>
        <v>0.11580856516039133</v>
      </c>
      <c r="J70" s="25">
        <f t="shared" si="10"/>
        <v>1.539350377472338</v>
      </c>
      <c r="K70" s="26">
        <f t="shared" si="11"/>
        <v>-0.3255373986666541</v>
      </c>
      <c r="M70" s="31" t="s">
        <v>73</v>
      </c>
      <c r="N70" s="41" cm="1">
        <f t="array" ref="N70">MMULT($H70:$K70,T$31:T$34)</f>
        <v>0.24923594466193244</v>
      </c>
      <c r="O70" s="42" cm="1">
        <f t="array" ref="O70">MMULT($H70:$K70,U$31:U$34)</f>
        <v>1.5530348726916399</v>
      </c>
      <c r="P70" s="42" cm="1">
        <f t="array" ref="P70">MMULT($H70:$K70,V$31:V$34)</f>
        <v>1.732271633098589</v>
      </c>
      <c r="Q70" s="43" cm="1">
        <f t="array" ref="Q70">MMULT($H70:$K70,W$31:W$34)</f>
        <v>-4.5235932593053141E-2</v>
      </c>
    </row>
    <row r="71" spans="1:17" x14ac:dyDescent="0.25">
      <c r="A71" s="31" t="s">
        <v>74</v>
      </c>
      <c r="B71" s="21">
        <v>9</v>
      </c>
      <c r="C71" s="21">
        <v>6.4</v>
      </c>
      <c r="D71" s="21">
        <v>10</v>
      </c>
      <c r="E71" s="22">
        <v>3.6</v>
      </c>
      <c r="G71" s="31" t="s">
        <v>74</v>
      </c>
      <c r="H71" s="25">
        <f t="shared" si="12"/>
        <v>1.018957977058021</v>
      </c>
      <c r="I71" s="25">
        <f t="shared" si="9"/>
        <v>0.68871312779129834</v>
      </c>
      <c r="J71" s="25">
        <f t="shared" si="10"/>
        <v>1.539350377472338</v>
      </c>
      <c r="K71" s="26">
        <f t="shared" si="11"/>
        <v>-0.68546818343322491</v>
      </c>
      <c r="M71" s="31" t="s">
        <v>74</v>
      </c>
      <c r="N71" s="41" cm="1">
        <f t="array" ref="N71">MMULT($H71:$K71,T$31:T$34)</f>
        <v>0.34201195978420473</v>
      </c>
      <c r="O71" s="42" cm="1">
        <f t="array" ref="O71">MMULT($H71:$K71,U$31:U$34)</f>
        <v>1.5847302153083238</v>
      </c>
      <c r="P71" s="42" cm="1">
        <f t="array" ref="P71">MMULT($H71:$K71,V$31:V$34)</f>
        <v>1.9168238282032071</v>
      </c>
      <c r="Q71" s="43" cm="1">
        <f t="array" ref="Q71">MMULT($H71:$K71,W$31:W$34)</f>
        <v>-1.5673050659426517</v>
      </c>
    </row>
    <row r="72" spans="1:17" x14ac:dyDescent="0.25">
      <c r="A72" s="31" t="s">
        <v>75</v>
      </c>
      <c r="B72" s="21">
        <v>9.8000000000000007</v>
      </c>
      <c r="C72" s="21">
        <v>9</v>
      </c>
      <c r="D72" s="21">
        <v>8</v>
      </c>
      <c r="E72" s="22">
        <v>7.7</v>
      </c>
      <c r="G72" s="31" t="s">
        <v>75</v>
      </c>
      <c r="H72" s="25">
        <f t="shared" si="12"/>
        <v>1.2764331449817157</v>
      </c>
      <c r="I72" s="25">
        <f t="shared" si="9"/>
        <v>1.7526787441058396</v>
      </c>
      <c r="J72" s="25">
        <f t="shared" si="10"/>
        <v>0.82866229923026125</v>
      </c>
      <c r="K72" s="26">
        <f t="shared" si="11"/>
        <v>0.95421650272559788</v>
      </c>
      <c r="M72" s="31" t="s">
        <v>75</v>
      </c>
      <c r="N72" s="41" cm="1">
        <f t="array" ref="N72">MMULT($H72:$K72,T$31:T$34)</f>
        <v>1.4377612780187039</v>
      </c>
      <c r="O72" s="42" cm="1">
        <f t="array" ref="O72">MMULT($H72:$K72,U$31:U$34)</f>
        <v>0.91195315228828777</v>
      </c>
      <c r="P72" s="42" cm="1">
        <f t="array" ref="P72">MMULT($H72:$K72,V$31:V$34)</f>
        <v>0.19126682865689149</v>
      </c>
      <c r="Q72" s="43" cm="1">
        <f t="array" ref="Q72">MMULT($H72:$K72,W$31:W$34)</f>
        <v>-1.1663482067125146</v>
      </c>
    </row>
    <row r="73" spans="1:17" x14ac:dyDescent="0.25">
      <c r="A73" s="31" t="s">
        <v>76</v>
      </c>
      <c r="B73" s="21">
        <v>5.8</v>
      </c>
      <c r="C73" s="21">
        <v>3.2</v>
      </c>
      <c r="D73" s="21">
        <v>2</v>
      </c>
      <c r="E73" s="22">
        <v>2.2000000000000002</v>
      </c>
      <c r="G73" s="31" t="s">
        <v>76</v>
      </c>
      <c r="H73" s="25">
        <f t="shared" si="12"/>
        <v>-1.0942694636756954E-2</v>
      </c>
      <c r="I73" s="25">
        <f t="shared" si="9"/>
        <v>-0.62078301536506031</v>
      </c>
      <c r="J73" s="25">
        <f t="shared" si="10"/>
        <v>-1.3034019354959692</v>
      </c>
      <c r="K73" s="26">
        <f t="shared" si="11"/>
        <v>-1.245360515292335</v>
      </c>
      <c r="M73" s="31" t="s">
        <v>76</v>
      </c>
      <c r="N73" s="41" cm="1">
        <f t="array" ref="N73">MMULT($H73:$K73,T$31:T$34)</f>
        <v>-0.6660279270107522</v>
      </c>
      <c r="O73" s="42" cm="1">
        <f t="array" ref="O73">MMULT($H73:$K73,U$31:U$34)</f>
        <v>-1.3191263093318402</v>
      </c>
      <c r="P73" s="42" cm="1">
        <f t="array" ref="P73">MMULT($H73:$K73,V$31:V$34)</f>
        <v>1.508312302985219</v>
      </c>
      <c r="Q73" s="43" cm="1">
        <f t="array" ref="Q73">MMULT($H73:$K73,W$31:W$34)</f>
        <v>-0.73897923464962967</v>
      </c>
    </row>
    <row r="74" spans="1:17" x14ac:dyDescent="0.25">
      <c r="A74" s="31" t="s">
        <v>77</v>
      </c>
      <c r="B74" s="21">
        <v>7.4</v>
      </c>
      <c r="C74" s="21">
        <v>3.5</v>
      </c>
      <c r="D74" s="21">
        <v>3</v>
      </c>
      <c r="E74" s="22">
        <v>2.4</v>
      </c>
      <c r="G74" s="31" t="s">
        <v>77</v>
      </c>
      <c r="H74" s="25">
        <f t="shared" si="12"/>
        <v>0.50400764121063213</v>
      </c>
      <c r="I74" s="25">
        <f t="shared" si="9"/>
        <v>-0.49801775194415171</v>
      </c>
      <c r="J74" s="25">
        <f t="shared" si="10"/>
        <v>-0.94805789637493088</v>
      </c>
      <c r="K74" s="26">
        <f t="shared" si="11"/>
        <v>-1.1653758964553194</v>
      </c>
      <c r="M74" s="31" t="s">
        <v>77</v>
      </c>
      <c r="N74" s="41" cm="1">
        <f t="array" ref="N74">MMULT($H74:$K74,T$31:T$34)</f>
        <v>-0.41422833059675113</v>
      </c>
      <c r="O74" s="42" cm="1">
        <f t="array" ref="O74">MMULT($H74:$K74,U$31:U$34)</f>
        <v>-0.95549722819143201</v>
      </c>
      <c r="P74" s="42" cm="1">
        <f t="array" ref="P74">MMULT($H74:$K74,V$31:V$34)</f>
        <v>2.132352954734575</v>
      </c>
      <c r="Q74" s="43" cm="1">
        <f t="array" ref="Q74">MMULT($H74:$K74,W$31:W$34)</f>
        <v>-0.5727813762944689</v>
      </c>
    </row>
    <row r="75" spans="1:17" x14ac:dyDescent="0.25">
      <c r="A75" s="31" t="s">
        <v>78</v>
      </c>
      <c r="B75" s="21">
        <v>8.1</v>
      </c>
      <c r="C75" s="21">
        <v>4.7</v>
      </c>
      <c r="D75" s="21">
        <v>2</v>
      </c>
      <c r="E75" s="22">
        <v>9.3000000000000007</v>
      </c>
      <c r="G75" s="31" t="s">
        <v>78</v>
      </c>
      <c r="H75" s="25">
        <f t="shared" si="12"/>
        <v>0.72929841314386457</v>
      </c>
      <c r="I75" s="25">
        <f t="shared" si="9"/>
        <v>-6.9566982605172066E-3</v>
      </c>
      <c r="J75" s="25">
        <f t="shared" si="10"/>
        <v>-1.3034019354959692</v>
      </c>
      <c r="K75" s="26">
        <f t="shared" si="11"/>
        <v>1.5940934534217241</v>
      </c>
      <c r="M75" s="31" t="s">
        <v>78</v>
      </c>
      <c r="N75" s="41" cm="1">
        <f t="array" ref="N75">MMULT($H75:$K75,T$31:T$34)</f>
        <v>0.85967084405629679</v>
      </c>
      <c r="O75" s="42" cm="1">
        <f t="array" ref="O75">MMULT($H75:$K75,U$31:U$34)</f>
        <v>-1.3128363452946474</v>
      </c>
      <c r="P75" s="42" cm="1">
        <f t="array" ref="P75">MMULT($H75:$K75,V$31:V$34)</f>
        <v>-0.55487195654323029</v>
      </c>
      <c r="Q75" s="43" cm="1">
        <f t="array" ref="Q75">MMULT($H75:$K75,W$31:W$34)</f>
        <v>2.4404169621677201</v>
      </c>
    </row>
    <row r="76" spans="1:17" x14ac:dyDescent="0.25">
      <c r="A76" s="31" t="s">
        <v>79</v>
      </c>
      <c r="B76" s="21">
        <v>4.5999999999999996</v>
      </c>
      <c r="C76" s="21">
        <v>3.8</v>
      </c>
      <c r="D76" s="21">
        <v>7</v>
      </c>
      <c r="E76" s="22">
        <v>6.8</v>
      </c>
      <c r="G76" s="31" t="s">
        <v>79</v>
      </c>
      <c r="H76" s="25">
        <f t="shared" si="12"/>
        <v>-0.39715544652229873</v>
      </c>
      <c r="I76" s="25">
        <f t="shared" si="9"/>
        <v>-0.37525248852324317</v>
      </c>
      <c r="J76" s="25">
        <f t="shared" si="10"/>
        <v>0.47331826010922279</v>
      </c>
      <c r="K76" s="26">
        <f t="shared" si="11"/>
        <v>0.59428571795902685</v>
      </c>
      <c r="M76" s="31" t="s">
        <v>79</v>
      </c>
      <c r="N76" s="41" cm="1">
        <f t="array" ref="N76">MMULT($H76:$K76,T$31:T$34)</f>
        <v>-7.1813544979967309E-2</v>
      </c>
      <c r="O76" s="42" cm="1">
        <f t="array" ref="O76">MMULT($H76:$K76,U$31:U$34)</f>
        <v>0.44557786419001466</v>
      </c>
      <c r="P76" s="42" cm="1">
        <f t="array" ref="P76">MMULT($H76:$K76,V$31:V$34)</f>
        <v>-1.0397753622415469</v>
      </c>
      <c r="Q76" s="43" cm="1">
        <f t="array" ref="Q76">MMULT($H76:$K76,W$31:W$34)</f>
        <v>1.3645654642340519</v>
      </c>
    </row>
    <row r="77" spans="1:17" x14ac:dyDescent="0.25">
      <c r="A77" s="31" t="s">
        <v>80</v>
      </c>
      <c r="B77" s="21">
        <v>3.9</v>
      </c>
      <c r="C77" s="21">
        <v>2.9</v>
      </c>
      <c r="D77" s="21">
        <v>3.2</v>
      </c>
      <c r="E77" s="22">
        <v>3.2</v>
      </c>
      <c r="G77" s="31" t="s">
        <v>80</v>
      </c>
      <c r="H77" s="25">
        <f t="shared" si="12"/>
        <v>-0.62244621845553127</v>
      </c>
      <c r="I77" s="25">
        <f t="shared" si="9"/>
        <v>-0.74354827878596896</v>
      </c>
      <c r="J77" s="25">
        <f t="shared" si="10"/>
        <v>-0.87698908855072311</v>
      </c>
      <c r="K77" s="26">
        <f t="shared" si="11"/>
        <v>-0.84543742110725639</v>
      </c>
      <c r="M77" s="31" t="s">
        <v>80</v>
      </c>
      <c r="N77" s="41" cm="1">
        <f t="array" ref="N77">MMULT($H77:$K77,T$31:T$34)</f>
        <v>-0.79044785991074362</v>
      </c>
      <c r="O77" s="42" cm="1">
        <f t="array" ref="O77">MMULT($H77:$K77,U$31:U$34)</f>
        <v>-0.9076741404536659</v>
      </c>
      <c r="P77" s="42" cm="1">
        <f t="array" ref="P77">MMULT($H77:$K77,V$31:V$34)</f>
        <v>0.25110909757364441</v>
      </c>
      <c r="Q77" s="43" cm="1">
        <f t="array" ref="Q77">MMULT($H77:$K77,W$31:W$34)</f>
        <v>-0.20701360429235816</v>
      </c>
    </row>
    <row r="78" spans="1:17" x14ac:dyDescent="0.25">
      <c r="A78" s="31" t="s">
        <v>81</v>
      </c>
      <c r="B78" s="21">
        <v>4</v>
      </c>
      <c r="C78" s="21">
        <v>3.9</v>
      </c>
      <c r="D78" s="21">
        <v>4.8</v>
      </c>
      <c r="E78" s="22">
        <v>4.8</v>
      </c>
      <c r="G78" s="31" t="s">
        <v>81</v>
      </c>
      <c r="H78" s="25">
        <f t="shared" si="12"/>
        <v>-0.59026182246506942</v>
      </c>
      <c r="I78" s="25">
        <f t="shared" si="9"/>
        <v>-0.33433073404960695</v>
      </c>
      <c r="J78" s="25">
        <f t="shared" si="10"/>
        <v>-0.30843862595706178</v>
      </c>
      <c r="K78" s="26">
        <f t="shared" si="11"/>
        <v>-0.20556047041113057</v>
      </c>
      <c r="M78" s="31" t="s">
        <v>81</v>
      </c>
      <c r="N78" s="41" cm="1">
        <f t="array" ref="N78">MMULT($H78:$K78,T$31:T$34)</f>
        <v>-0.40360897114558553</v>
      </c>
      <c r="O78" s="42" cm="1">
        <f t="array" ref="O78">MMULT($H78:$K78,U$31:U$34)</f>
        <v>-0.32632701205226688</v>
      </c>
      <c r="P78" s="42" cm="1">
        <f t="array" ref="P78">MMULT($H78:$K78,V$31:V$34)</f>
        <v>-0.52110105123638084</v>
      </c>
      <c r="Q78" s="43" cm="1">
        <f t="array" ref="Q78">MMULT($H78:$K78,W$31:W$34)</f>
        <v>1.1748336895461675E-2</v>
      </c>
    </row>
    <row r="79" spans="1:17" x14ac:dyDescent="0.25">
      <c r="A79" s="31" t="s">
        <v>82</v>
      </c>
      <c r="B79" s="21">
        <v>1.7</v>
      </c>
      <c r="C79" s="21">
        <v>2.6</v>
      </c>
      <c r="D79" s="21">
        <v>3.4</v>
      </c>
      <c r="E79" s="22">
        <v>3.4</v>
      </c>
      <c r="G79" s="31" t="s">
        <v>82</v>
      </c>
      <c r="H79" s="25">
        <f t="shared" si="12"/>
        <v>-1.330502930245691</v>
      </c>
      <c r="I79" s="25">
        <f t="shared" si="9"/>
        <v>-0.86631354220687751</v>
      </c>
      <c r="J79" s="25">
        <f t="shared" si="10"/>
        <v>-0.80592028072651556</v>
      </c>
      <c r="K79" s="26">
        <f t="shared" si="11"/>
        <v>-0.76545280227024071</v>
      </c>
      <c r="M79" s="31" t="s">
        <v>82</v>
      </c>
      <c r="N79" s="41" cm="1">
        <f t="array" ref="N79">MMULT($H79:$K79,T$31:T$34)</f>
        <v>-1.0598048739322481</v>
      </c>
      <c r="O79" s="42" cm="1">
        <f t="array" ref="O79">MMULT($H79:$K79,U$31:U$34)</f>
        <v>-0.8484952157543425</v>
      </c>
      <c r="P79" s="42" cm="1">
        <f t="array" ref="P79">MMULT($H79:$K79,V$31:V$34)</f>
        <v>-0.82032136289771995</v>
      </c>
      <c r="Q79" s="43" cm="1">
        <f t="array" ref="Q79">MMULT($H79:$K79,W$31:W$34)</f>
        <v>-0.19983456668288135</v>
      </c>
    </row>
    <row r="80" spans="1:17" x14ac:dyDescent="0.25">
      <c r="A80" s="31" t="s">
        <v>83</v>
      </c>
      <c r="B80" s="21">
        <v>5.4</v>
      </c>
      <c r="C80" s="21">
        <v>3.5</v>
      </c>
      <c r="D80" s="21">
        <v>4.5</v>
      </c>
      <c r="E80" s="22">
        <v>4.5</v>
      </c>
      <c r="G80" s="31" t="s">
        <v>83</v>
      </c>
      <c r="H80" s="25">
        <f t="shared" si="12"/>
        <v>-0.13968027859860402</v>
      </c>
      <c r="I80" s="25">
        <f t="shared" si="9"/>
        <v>-0.49801775194415171</v>
      </c>
      <c r="J80" s="25">
        <f t="shared" si="10"/>
        <v>-0.41504183769337322</v>
      </c>
      <c r="K80" s="26">
        <f t="shared" si="11"/>
        <v>-0.3255373986666541</v>
      </c>
      <c r="M80" s="31" t="s">
        <v>83</v>
      </c>
      <c r="N80" s="41" cm="1">
        <f t="array" ref="N80">MMULT($H80:$K80,T$31:T$34)</f>
        <v>-0.34603243798656247</v>
      </c>
      <c r="O80" s="42" cm="1">
        <f t="array" ref="O80">MMULT($H80:$K80,U$31:U$34)</f>
        <v>-0.43631829919611359</v>
      </c>
      <c r="P80" s="42" cm="1">
        <f t="array" ref="P80">MMULT($H80:$K80,V$31:V$34)</f>
        <v>0.3287228544270101</v>
      </c>
      <c r="Q80" s="43" cm="1">
        <f t="array" ref="Q80">MMULT($H80:$K80,W$31:W$34)</f>
        <v>0.34308522183642332</v>
      </c>
    </row>
    <row r="81" spans="1:17" x14ac:dyDescent="0.25">
      <c r="A81" s="31" t="s">
        <v>84</v>
      </c>
      <c r="B81" s="21">
        <v>2.7</v>
      </c>
      <c r="C81" s="21">
        <v>2.7</v>
      </c>
      <c r="D81" s="21">
        <v>3.6</v>
      </c>
      <c r="E81" s="22">
        <v>3.6</v>
      </c>
      <c r="G81" s="31" t="s">
        <v>84</v>
      </c>
      <c r="H81" s="25">
        <f t="shared" si="12"/>
        <v>-1.0086589703410729</v>
      </c>
      <c r="I81" s="25">
        <f t="shared" si="9"/>
        <v>-0.82539178773324129</v>
      </c>
      <c r="J81" s="25">
        <f t="shared" si="10"/>
        <v>-0.73485147290230779</v>
      </c>
      <c r="K81" s="26">
        <f t="shared" si="11"/>
        <v>-0.68546818343322491</v>
      </c>
      <c r="M81" s="31" t="s">
        <v>84</v>
      </c>
      <c r="N81" s="41" cm="1">
        <f t="array" ref="N81">MMULT($H81:$K81,T$31:T$34)</f>
        <v>-0.90223375191198063</v>
      </c>
      <c r="O81" s="42" cm="1">
        <f t="array" ref="O81">MMULT($H81:$K81,U$31:U$34)</f>
        <v>-0.77407251563033896</v>
      </c>
      <c r="P81" s="42" cm="1">
        <f t="array" ref="P81">MMULT($H81:$K81,V$31:V$34)</f>
        <v>-0.44636161424183318</v>
      </c>
      <c r="Q81" s="43" cm="1">
        <f t="array" ref="Q81">MMULT($H81:$K81,W$31:W$34)</f>
        <v>-4.3961496719832072E-3</v>
      </c>
    </row>
    <row r="82" spans="1:17" x14ac:dyDescent="0.25">
      <c r="A82" s="31" t="s">
        <v>85</v>
      </c>
      <c r="B82" s="21">
        <v>3</v>
      </c>
      <c r="C82" s="21">
        <v>3.4</v>
      </c>
      <c r="D82" s="21">
        <v>4</v>
      </c>
      <c r="E82" s="22">
        <v>4.0999999999999996</v>
      </c>
      <c r="G82" s="31" t="s">
        <v>85</v>
      </c>
      <c r="H82" s="25">
        <f t="shared" si="12"/>
        <v>-0.91210578236968753</v>
      </c>
      <c r="I82" s="25">
        <f t="shared" si="9"/>
        <v>-0.53893950641778798</v>
      </c>
      <c r="J82" s="25">
        <f t="shared" si="10"/>
        <v>-0.59271385725389247</v>
      </c>
      <c r="K82" s="26">
        <f t="shared" si="11"/>
        <v>-0.48550663634068575</v>
      </c>
      <c r="M82" s="31" t="s">
        <v>85</v>
      </c>
      <c r="N82" s="41" cm="1">
        <f t="array" ref="N82">MMULT($H82:$K82,T$31:T$34)</f>
        <v>-0.69117317312154203</v>
      </c>
      <c r="O82" s="42" cm="1">
        <f t="array" ref="O82">MMULT($H82:$K82,U$31:U$34)</f>
        <v>-0.61957130960900386</v>
      </c>
      <c r="P82" s="42" cm="1">
        <f t="array" ref="P82">MMULT($H82:$K82,V$31:V$34)</f>
        <v>-0.62453260978470648</v>
      </c>
      <c r="Q82" s="43" cm="1">
        <f t="array" ref="Q82">MMULT($H82:$K82,W$31:W$34)</f>
        <v>-0.18599069545836716</v>
      </c>
    </row>
    <row r="83" spans="1:17" x14ac:dyDescent="0.25">
      <c r="A83" s="31" t="s">
        <v>86</v>
      </c>
      <c r="B83" s="21">
        <v>1.1000000000000001</v>
      </c>
      <c r="C83" s="21">
        <v>1.9</v>
      </c>
      <c r="D83" s="21">
        <v>7</v>
      </c>
      <c r="E83" s="22">
        <v>2</v>
      </c>
      <c r="G83" s="31" t="s">
        <v>86</v>
      </c>
      <c r="H83" s="25">
        <f t="shared" si="12"/>
        <v>-1.5236093061884619</v>
      </c>
      <c r="I83" s="25">
        <f t="shared" si="9"/>
        <v>-1.152765823522331</v>
      </c>
      <c r="J83" s="25">
        <f t="shared" si="10"/>
        <v>0.47331826010922279</v>
      </c>
      <c r="K83" s="26">
        <f t="shared" si="11"/>
        <v>-1.325345134129351</v>
      </c>
      <c r="M83" s="31" t="s">
        <v>86</v>
      </c>
      <c r="N83" s="41" cm="1">
        <f t="array" ref="N83">MMULT($H83:$K83,T$31:T$34)</f>
        <v>-1.4603403391873995</v>
      </c>
      <c r="O83" s="42" cm="1">
        <f t="array" ref="O83">MMULT($H83:$K83,U$31:U$34)</f>
        <v>0.41928611998409904</v>
      </c>
      <c r="P83" s="42" cm="1">
        <f t="array" ref="P83">MMULT($H83:$K83,V$31:V$34)</f>
        <v>-0.41763857118767822</v>
      </c>
      <c r="Q83" s="43" cm="1">
        <f t="array" ref="Q83">MMULT($H83:$K83,W$31:W$34)</f>
        <v>-0.42299176744055389</v>
      </c>
    </row>
    <row r="84" spans="1:17" x14ac:dyDescent="0.25">
      <c r="A84" s="31" t="s">
        <v>87</v>
      </c>
      <c r="B84" s="21">
        <v>1.8</v>
      </c>
      <c r="C84" s="21">
        <v>3.4</v>
      </c>
      <c r="D84" s="21">
        <v>9</v>
      </c>
      <c r="E84" s="22">
        <v>2.7</v>
      </c>
      <c r="G84" s="31" t="s">
        <v>87</v>
      </c>
      <c r="H84" s="25">
        <f t="shared" si="12"/>
        <v>-1.2983185342552293</v>
      </c>
      <c r="I84" s="25">
        <f t="shared" si="9"/>
        <v>-0.53893950641778798</v>
      </c>
      <c r="J84" s="25">
        <f t="shared" si="10"/>
        <v>1.1840063383512995</v>
      </c>
      <c r="K84" s="26">
        <f t="shared" si="11"/>
        <v>-1.0453989681997957</v>
      </c>
      <c r="M84" s="31" t="s">
        <v>87</v>
      </c>
      <c r="N84" s="41" cm="1">
        <f t="array" ref="N84">MMULT($H84:$K84,T$31:T$34)</f>
        <v>-1.0625113198468468</v>
      </c>
      <c r="O84" s="42" cm="1">
        <f t="array" ref="O84">MMULT($H84:$K84,U$31:U$34)</f>
        <v>1.1575152013154566</v>
      </c>
      <c r="P84" s="42" cm="1">
        <f t="array" ref="P84">MMULT($H84:$K84,V$31:V$34)</f>
        <v>-0.62110184990236217</v>
      </c>
      <c r="Q84" s="43" cm="1">
        <f t="array" ref="Q84">MMULT($H84:$K84,W$31:W$34)</f>
        <v>-0.96959129862105675</v>
      </c>
    </row>
    <row r="85" spans="1:17" x14ac:dyDescent="0.25">
      <c r="A85" s="31" t="s">
        <v>88</v>
      </c>
      <c r="B85" s="21">
        <v>1.3</v>
      </c>
      <c r="C85" s="21">
        <v>2.5</v>
      </c>
      <c r="D85" s="21">
        <v>8</v>
      </c>
      <c r="E85" s="22">
        <v>2.2999999999999998</v>
      </c>
      <c r="G85" s="31" t="s">
        <v>88</v>
      </c>
      <c r="H85" s="25">
        <f t="shared" si="12"/>
        <v>-1.4592405142075384</v>
      </c>
      <c r="I85" s="25">
        <f t="shared" si="9"/>
        <v>-0.90723529668051373</v>
      </c>
      <c r="J85" s="25">
        <f t="shared" si="10"/>
        <v>0.82866229923026125</v>
      </c>
      <c r="K85" s="26">
        <f t="shared" si="11"/>
        <v>-1.2053682058738273</v>
      </c>
      <c r="M85" s="31" t="s">
        <v>88</v>
      </c>
      <c r="N85" s="41" cm="1">
        <f t="array" ref="N85">MMULT($H85:$K85,T$31:T$34)</f>
        <v>-1.3086476449608069</v>
      </c>
      <c r="O85" s="42" cm="1">
        <f t="array" ref="O85">MMULT($H85:$K85,U$31:U$34)</f>
        <v>0.78528039124608973</v>
      </c>
      <c r="P85" s="42" cm="1">
        <f t="array" ref="P85">MMULT($H85:$K85,V$31:V$34)</f>
        <v>-0.545066868332446</v>
      </c>
      <c r="Q85" s="43" cm="1">
        <f t="array" ref="Q85">MMULT($H85:$K85,W$31:W$34)</f>
        <v>-0.63561996167426948</v>
      </c>
    </row>
    <row r="86" spans="1:17" x14ac:dyDescent="0.25">
      <c r="A86" s="31" t="s">
        <v>89</v>
      </c>
      <c r="B86" s="21">
        <v>2</v>
      </c>
      <c r="C86" s="21">
        <v>2.2999999999999998</v>
      </c>
      <c r="D86" s="21">
        <v>4.3</v>
      </c>
      <c r="E86" s="22">
        <v>4.3</v>
      </c>
      <c r="G86" s="31" t="s">
        <v>89</v>
      </c>
      <c r="H86" s="25">
        <f t="shared" si="12"/>
        <v>-1.2339497422743055</v>
      </c>
      <c r="I86" s="25">
        <f t="shared" si="9"/>
        <v>-0.98907880562778627</v>
      </c>
      <c r="J86" s="25">
        <f t="shared" si="10"/>
        <v>-0.48611064551758099</v>
      </c>
      <c r="K86" s="26">
        <f t="shared" si="11"/>
        <v>-0.4055220175036699</v>
      </c>
      <c r="M86" s="31" t="s">
        <v>89</v>
      </c>
      <c r="N86" s="41" cm="1">
        <f t="array" ref="N86">MMULT($H86:$K86,T$31:T$34)</f>
        <v>-0.94523039784019225</v>
      </c>
      <c r="O86" s="42" cm="1">
        <f t="array" ref="O86">MMULT($H86:$K86,U$31:U$34)</f>
        <v>-0.53807183374440815</v>
      </c>
      <c r="P86" s="42" cm="1">
        <f t="array" ref="P86">MMULT($H86:$K86,V$31:V$34)</f>
        <v>-0.99751967956326293</v>
      </c>
      <c r="Q86" s="43" cm="1">
        <f t="array" ref="Q86">MMULT($H86:$K86,W$31:W$34)</f>
        <v>0.59928093688640516</v>
      </c>
    </row>
    <row r="87" spans="1:17" x14ac:dyDescent="0.25">
      <c r="A87" s="31" t="s">
        <v>90</v>
      </c>
      <c r="B87" s="21">
        <v>0.6</v>
      </c>
      <c r="C87" s="21">
        <v>1.9</v>
      </c>
      <c r="D87" s="21">
        <v>8</v>
      </c>
      <c r="E87" s="22">
        <v>3.2</v>
      </c>
      <c r="G87" s="31" t="s">
        <v>90</v>
      </c>
      <c r="H87" s="25">
        <f t="shared" si="12"/>
        <v>-1.6845312861407711</v>
      </c>
      <c r="I87" s="25">
        <f t="shared" si="9"/>
        <v>-1.152765823522331</v>
      </c>
      <c r="J87" s="25">
        <f t="shared" si="10"/>
        <v>0.82866229923026125</v>
      </c>
      <c r="K87" s="26">
        <f t="shared" si="11"/>
        <v>-0.84543742110725639</v>
      </c>
      <c r="M87" s="31" t="s">
        <v>90</v>
      </c>
      <c r="N87" s="41" cm="1">
        <f t="array" ref="N87">MMULT($H87:$K87,T$31:T$34)</f>
        <v>-1.3486578183074374</v>
      </c>
      <c r="O87" s="42" cm="1">
        <f t="array" ref="O87">MMULT($H87:$K87,U$31:U$34)</f>
        <v>0.76811528136078977</v>
      </c>
      <c r="P87" s="42" cm="1">
        <f t="array" ref="P87">MMULT($H87:$K87,V$31:V$34)</f>
        <v>-1.1447420871136376</v>
      </c>
      <c r="Q87" s="43" cm="1">
        <f t="array" ref="Q87">MMULT($H87:$K87,W$31:W$34)</f>
        <v>0.20274418393074733</v>
      </c>
    </row>
    <row r="88" spans="1:17" x14ac:dyDescent="0.25">
      <c r="A88" s="31" t="s">
        <v>91</v>
      </c>
      <c r="B88" s="21">
        <v>1.6</v>
      </c>
      <c r="C88" s="21">
        <v>2.2000000000000002</v>
      </c>
      <c r="D88" s="21">
        <v>6.5</v>
      </c>
      <c r="E88" s="22">
        <v>6.5</v>
      </c>
      <c r="G88" s="31" t="s">
        <v>91</v>
      </c>
      <c r="H88" s="25">
        <f t="shared" si="12"/>
        <v>-1.362687326236153</v>
      </c>
      <c r="I88" s="25">
        <f t="shared" si="9"/>
        <v>-1.0300005601014224</v>
      </c>
      <c r="J88" s="25">
        <f t="shared" si="10"/>
        <v>0.29564624054870359</v>
      </c>
      <c r="K88" s="26">
        <f t="shared" si="11"/>
        <v>0.47430878970350332</v>
      </c>
      <c r="M88" s="31" t="s">
        <v>91</v>
      </c>
      <c r="N88" s="41" cm="1">
        <f t="array" ref="N88">MMULT($H88:$K88,T$31:T$34)</f>
        <v>-0.69872714582174122</v>
      </c>
      <c r="O88" s="42" cm="1">
        <f t="array" ref="O88">MMULT($H88:$K88,U$31:U$34)</f>
        <v>0.23074323097239538</v>
      </c>
      <c r="P88" s="42" cm="1">
        <f t="array" ref="P88">MMULT($H88:$K88,V$31:V$34)</f>
        <v>-2.0702225282268243</v>
      </c>
      <c r="Q88" s="43" cm="1">
        <f t="array" ref="Q88">MMULT($H88:$K88,W$31:W$34)</f>
        <v>1.9116964224041122</v>
      </c>
    </row>
    <row r="89" spans="1:17" x14ac:dyDescent="0.25">
      <c r="A89" s="31" t="s">
        <v>92</v>
      </c>
      <c r="B89" s="21">
        <v>0.7</v>
      </c>
      <c r="C89" s="21">
        <v>1.9</v>
      </c>
      <c r="D89" s="21">
        <v>7</v>
      </c>
      <c r="E89" s="22">
        <v>2.8</v>
      </c>
      <c r="G89" s="31" t="s">
        <v>92</v>
      </c>
      <c r="H89" s="25">
        <f t="shared" si="12"/>
        <v>-1.6523468901503091</v>
      </c>
      <c r="I89" s="25">
        <f t="shared" si="9"/>
        <v>-1.152765823522331</v>
      </c>
      <c r="J89" s="25">
        <f t="shared" si="10"/>
        <v>0.47331826010922279</v>
      </c>
      <c r="K89" s="26">
        <f t="shared" si="11"/>
        <v>-1.005406658781288</v>
      </c>
      <c r="M89" s="31" t="s">
        <v>92</v>
      </c>
      <c r="N89" s="41" cm="1">
        <f t="array" ref="N89">MMULT($H89:$K89,T$31:T$34)</f>
        <v>-1.3895196716177185</v>
      </c>
      <c r="O89" s="42" cm="1">
        <f t="array" ref="O89">MMULT($H89:$K89,U$31:U$34)</f>
        <v>0.41513349462857485</v>
      </c>
      <c r="P89" s="42" cm="1">
        <f t="array" ref="P89">MMULT($H89:$K89,V$31:V$34)</f>
        <v>-0.93357380882813468</v>
      </c>
      <c r="Q89" s="43" cm="1">
        <f t="array" ref="Q89">MMULT($H89:$K89,W$31:W$34)</f>
        <v>-3.9340407928267318E-2</v>
      </c>
    </row>
    <row r="90" spans="1:17" x14ac:dyDescent="0.25">
      <c r="A90" s="31" t="s">
        <v>93</v>
      </c>
      <c r="B90" s="21">
        <v>4.0999999999999996</v>
      </c>
      <c r="C90" s="21">
        <v>3</v>
      </c>
      <c r="D90" s="21">
        <v>9</v>
      </c>
      <c r="E90" s="22">
        <v>2.2000000000000002</v>
      </c>
      <c r="G90" s="31" t="s">
        <v>93</v>
      </c>
      <c r="H90" s="25">
        <f t="shared" si="12"/>
        <v>-0.55807742647460779</v>
      </c>
      <c r="I90" s="25">
        <f t="shared" si="9"/>
        <v>-0.70262652431233275</v>
      </c>
      <c r="J90" s="25">
        <f t="shared" si="10"/>
        <v>1.1840063383512995</v>
      </c>
      <c r="K90" s="26">
        <f t="shared" si="11"/>
        <v>-1.245360515292335</v>
      </c>
      <c r="M90" s="31" t="s">
        <v>93</v>
      </c>
      <c r="N90" s="41" cm="1">
        <f t="array" ref="N90">MMULT($H90:$K90,T$31:T$34)</f>
        <v>-0.93288455038874241</v>
      </c>
      <c r="O90" s="42" cm="1">
        <f t="array" ref="O90">MMULT($H90:$K90,U$31:U$34)</f>
        <v>1.1568348053264614</v>
      </c>
      <c r="P90" s="42" cm="1">
        <f t="array" ref="P90">MMULT($H90:$K90,V$31:V$34)</f>
        <v>0.73539504594397909</v>
      </c>
      <c r="Q90" s="43" cm="1">
        <f t="array" ref="Q90">MMULT($H90:$K90,W$31:W$34)</f>
        <v>-0.60246496780708902</v>
      </c>
    </row>
    <row r="91" spans="1:17" x14ac:dyDescent="0.25">
      <c r="A91" s="31" t="s">
        <v>94</v>
      </c>
      <c r="B91" s="21">
        <v>3.5</v>
      </c>
      <c r="C91" s="21">
        <v>3.6</v>
      </c>
      <c r="D91" s="21">
        <v>10</v>
      </c>
      <c r="E91" s="22">
        <v>2.4</v>
      </c>
      <c r="G91" s="31" t="s">
        <v>94</v>
      </c>
      <c r="H91" s="25">
        <f t="shared" si="12"/>
        <v>-0.75118380241737848</v>
      </c>
      <c r="I91" s="25">
        <f t="shared" si="9"/>
        <v>-0.45709599747051549</v>
      </c>
      <c r="J91" s="25">
        <f t="shared" si="10"/>
        <v>1.539350377472338</v>
      </c>
      <c r="K91" s="26">
        <f t="shared" si="11"/>
        <v>-1.1653758964553194</v>
      </c>
      <c r="M91" s="31" t="s">
        <v>94</v>
      </c>
      <c r="N91" s="41" cm="1">
        <f t="array" ref="N91">MMULT($H91:$K91,T$31:T$34)</f>
        <v>-0.88731970614574818</v>
      </c>
      <c r="O91" s="42" cm="1">
        <f t="array" ref="O91">MMULT($H91:$K91,U$31:U$34)</f>
        <v>1.5214104804149957</v>
      </c>
      <c r="P91" s="42" cm="1">
        <f t="array" ref="P91">MMULT($H91:$K91,V$31:V$34)</f>
        <v>0.27102752126978069</v>
      </c>
      <c r="Q91" s="43" cm="1">
        <f t="array" ref="Q91">MMULT($H91:$K91,W$31:W$34)</f>
        <v>-0.9917910369177414</v>
      </c>
    </row>
    <row r="92" spans="1:17" x14ac:dyDescent="0.25">
      <c r="A92" s="31" t="s">
        <v>95</v>
      </c>
      <c r="B92" s="21">
        <v>2.4</v>
      </c>
      <c r="C92" s="21">
        <v>3</v>
      </c>
      <c r="D92" s="21">
        <v>2.2999999999999998</v>
      </c>
      <c r="E92" s="22">
        <v>2.2999999999999998</v>
      </c>
      <c r="G92" s="31" t="s">
        <v>95</v>
      </c>
      <c r="H92" s="25">
        <f t="shared" si="12"/>
        <v>-1.1052121583124583</v>
      </c>
      <c r="I92" s="25">
        <f t="shared" si="9"/>
        <v>-0.70262652431233275</v>
      </c>
      <c r="J92" s="25">
        <f t="shared" si="10"/>
        <v>-1.1967987237596578</v>
      </c>
      <c r="K92" s="26">
        <f t="shared" si="11"/>
        <v>-1.2053682058738273</v>
      </c>
      <c r="M92" s="31" t="s">
        <v>95</v>
      </c>
      <c r="N92" s="41" cm="1">
        <f t="array" ref="N92">MMULT($H92:$K92,T$31:T$34)</f>
        <v>-1.0727098080060913</v>
      </c>
      <c r="O92" s="42" cm="1">
        <f t="array" ref="O92">MMULT($H92:$K92,U$31:U$34)</f>
        <v>-1.2248075634263413</v>
      </c>
      <c r="P92" s="42" cm="1">
        <f t="array" ref="P92">MMULT($H92:$K92,V$31:V$34)</f>
        <v>-0.10547892221409061</v>
      </c>
      <c r="Q92" s="43" cm="1">
        <f t="array" ref="Q92">MMULT($H92:$K92,W$31:W$34)</f>
        <v>-1.0396745834739312</v>
      </c>
    </row>
    <row r="93" spans="1:17" x14ac:dyDescent="0.25">
      <c r="A93" s="31" t="s">
        <v>96</v>
      </c>
      <c r="B93" s="21">
        <v>6.8</v>
      </c>
      <c r="C93" s="21">
        <v>4.7</v>
      </c>
      <c r="D93" s="21">
        <v>5</v>
      </c>
      <c r="E93" s="22">
        <v>5</v>
      </c>
      <c r="G93" s="31" t="s">
        <v>96</v>
      </c>
      <c r="H93" s="25">
        <f t="shared" si="12"/>
        <v>0.3109012652678611</v>
      </c>
      <c r="I93" s="25">
        <f t="shared" si="9"/>
        <v>-6.9566982605172066E-3</v>
      </c>
      <c r="J93" s="25">
        <f t="shared" si="10"/>
        <v>-0.23736981813285402</v>
      </c>
      <c r="K93" s="26">
        <f t="shared" si="11"/>
        <v>-0.12557585157411474</v>
      </c>
      <c r="M93" s="31" t="s">
        <v>96</v>
      </c>
      <c r="N93" s="41" cm="1">
        <f t="array" ref="N93">MMULT($H93:$K93,T$31:T$34)</f>
        <v>6.6208726780636024E-2</v>
      </c>
      <c r="O93" s="42" cm="1">
        <f t="array" ref="O93">MMULT($H93:$K93,U$31:U$34)</f>
        <v>-0.23389024905626091</v>
      </c>
      <c r="P93" s="42" cm="1">
        <f t="array" ref="P93">MMULT($H93:$K93,V$31:V$34)</f>
        <v>0.58765826634389728</v>
      </c>
      <c r="Q93" s="43" cm="1">
        <f t="array" ref="Q93">MMULT($H93:$K93,W$31:W$34)</f>
        <v>-3.890936598118358E-2</v>
      </c>
    </row>
    <row r="94" spans="1:17" x14ac:dyDescent="0.25">
      <c r="A94" s="31" t="s">
        <v>97</v>
      </c>
      <c r="B94" s="21">
        <v>1.4</v>
      </c>
      <c r="C94" s="21">
        <v>2.2999999999999998</v>
      </c>
      <c r="D94" s="21">
        <v>5.7</v>
      </c>
      <c r="E94" s="22">
        <v>5.7</v>
      </c>
      <c r="G94" s="31" t="s">
        <v>97</v>
      </c>
      <c r="H94" s="25">
        <f t="shared" si="12"/>
        <v>-1.4270561182170762</v>
      </c>
      <c r="I94" s="25">
        <f t="shared" si="9"/>
        <v>-0.98907880562778627</v>
      </c>
      <c r="J94" s="25">
        <f t="shared" si="10"/>
        <v>1.1371009251872923E-2</v>
      </c>
      <c r="K94" s="26">
        <f t="shared" si="11"/>
        <v>0.15437031435544044</v>
      </c>
      <c r="M94" s="31" t="s">
        <v>97</v>
      </c>
      <c r="N94" s="41" cm="1">
        <f t="array" ref="N94">MMULT($H94:$K94,T$31:T$34)</f>
        <v>-0.81823976185939329</v>
      </c>
      <c r="O94" s="42" cm="1">
        <f t="array" ref="O94">MMULT($H94:$K94,U$31:U$34)</f>
        <v>-4.8348773617567474E-2</v>
      </c>
      <c r="P94" s="42" cm="1">
        <f t="array" ref="P94">MMULT($H94:$K94,V$31:V$34)</f>
        <v>-1.853778145496481</v>
      </c>
      <c r="Q94" s="43" cm="1">
        <f t="array" ref="Q94">MMULT($H94:$K94,W$31:W$34)</f>
        <v>1.3349748715680843</v>
      </c>
    </row>
    <row r="95" spans="1:17" x14ac:dyDescent="0.25">
      <c r="A95" s="31" t="s">
        <v>98</v>
      </c>
      <c r="B95" s="21">
        <v>8.3000000000000007</v>
      </c>
      <c r="C95" s="21">
        <v>4</v>
      </c>
      <c r="D95" s="21">
        <v>7.7</v>
      </c>
      <c r="E95" s="22">
        <v>7.7</v>
      </c>
      <c r="G95" s="31" t="s">
        <v>98</v>
      </c>
      <c r="H95" s="25">
        <f t="shared" si="12"/>
        <v>0.7936672051247885</v>
      </c>
      <c r="I95" s="25">
        <f t="shared" si="9"/>
        <v>-0.29340897957597073</v>
      </c>
      <c r="J95" s="25">
        <f t="shared" si="10"/>
        <v>0.72205908749394976</v>
      </c>
      <c r="K95" s="26">
        <f t="shared" si="11"/>
        <v>0.95421650272559788</v>
      </c>
      <c r="M95" s="31" t="s">
        <v>98</v>
      </c>
      <c r="N95" s="41" cm="1">
        <f t="array" ref="N95">MMULT($H95:$K95,T$31:T$34)</f>
        <v>0.50895473303370387</v>
      </c>
      <c r="O95" s="42" cm="1">
        <f t="array" ref="O95">MMULT($H95:$K95,U$31:U$34)</f>
        <v>0.70272216781188501</v>
      </c>
      <c r="P95" s="42" cm="1">
        <f t="array" ref="P95">MMULT($H95:$K95,V$31:V$34)</f>
        <v>0.30648650063502636</v>
      </c>
      <c r="Q95" s="43" cm="1">
        <f t="array" ref="Q95">MMULT($H95:$K95,W$31:W$34)</f>
        <v>2.3011062992063254</v>
      </c>
    </row>
    <row r="96" spans="1:17" x14ac:dyDescent="0.25">
      <c r="A96" s="31" t="s">
        <v>99</v>
      </c>
      <c r="B96" s="21">
        <v>9.1</v>
      </c>
      <c r="C96" s="21">
        <v>5.4</v>
      </c>
      <c r="D96" s="21">
        <v>6.3</v>
      </c>
      <c r="E96" s="22">
        <v>6.3</v>
      </c>
      <c r="G96" s="31" t="s">
        <v>99</v>
      </c>
      <c r="H96" s="25">
        <f t="shared" si="12"/>
        <v>1.0511423730484826</v>
      </c>
      <c r="I96" s="25">
        <f t="shared" si="9"/>
        <v>0.27949558305493627</v>
      </c>
      <c r="J96" s="25">
        <f t="shared" si="10"/>
        <v>0.22457743272449585</v>
      </c>
      <c r="K96" s="26">
        <f t="shared" si="11"/>
        <v>0.39432417086648752</v>
      </c>
      <c r="M96" s="31" t="s">
        <v>99</v>
      </c>
      <c r="N96" s="41" cm="1">
        <f t="array" ref="N96">MMULT($H96:$K96,T$31:T$34)</f>
        <v>0.61735618271526016</v>
      </c>
      <c r="O96" s="42" cm="1">
        <f t="array" ref="O96">MMULT($H96:$K96,U$31:U$34)</f>
        <v>0.24127653605746135</v>
      </c>
      <c r="P96" s="42" cm="1">
        <f t="array" ref="P96">MMULT($H96:$K96,V$31:V$34)</f>
        <v>1.0266195754790752</v>
      </c>
      <c r="Q96" s="43" cm="1">
        <f t="array" ref="Q96">MMULT($H96:$K96,W$31:W$34)</f>
        <v>0.55825430499795314</v>
      </c>
    </row>
    <row r="97" spans="1:17" x14ac:dyDescent="0.25">
      <c r="A97" s="31" t="s">
        <v>100</v>
      </c>
      <c r="B97" s="21">
        <v>7.7</v>
      </c>
      <c r="C97" s="21">
        <v>4.3</v>
      </c>
      <c r="D97" s="21">
        <v>5.2</v>
      </c>
      <c r="E97" s="22">
        <v>5.0999999999999996</v>
      </c>
      <c r="G97" s="31" t="s">
        <v>100</v>
      </c>
      <c r="H97" s="25">
        <f t="shared" si="12"/>
        <v>0.60056082918201747</v>
      </c>
      <c r="I97" s="25">
        <f t="shared" si="9"/>
        <v>-0.17064371615506216</v>
      </c>
      <c r="J97" s="25">
        <f t="shared" si="10"/>
        <v>-0.16630101030864627</v>
      </c>
      <c r="K97" s="26">
        <f t="shared" si="11"/>
        <v>-8.5583542155607012E-2</v>
      </c>
      <c r="M97" s="31" t="s">
        <v>100</v>
      </c>
      <c r="N97" s="41" cm="1">
        <f t="array" ref="N97">MMULT($H97:$K97,T$31:T$34)</f>
        <v>0.12186683197182456</v>
      </c>
      <c r="O97" s="42" cm="1">
        <f t="array" ref="O97">MMULT($H97:$K97,U$31:U$34)</f>
        <v>-0.16922666507877998</v>
      </c>
      <c r="P97" s="42" cm="1">
        <f t="array" ref="P97">MMULT($H97:$K97,V$31:V$34)</f>
        <v>1.0376190513578694</v>
      </c>
      <c r="Q97" s="43" cm="1">
        <f t="array" ref="Q97">MMULT($H97:$K97,W$31:W$34)</f>
        <v>0.45637146743998586</v>
      </c>
    </row>
    <row r="98" spans="1:17" x14ac:dyDescent="0.25">
      <c r="A98" s="31" t="s">
        <v>101</v>
      </c>
      <c r="B98" s="21">
        <v>9</v>
      </c>
      <c r="C98" s="21">
        <v>6</v>
      </c>
      <c r="D98" s="21">
        <v>4</v>
      </c>
      <c r="E98" s="22">
        <v>9.8000000000000007</v>
      </c>
      <c r="G98" s="31" t="s">
        <v>101</v>
      </c>
      <c r="H98" s="25">
        <f t="shared" si="12"/>
        <v>1.018957977058021</v>
      </c>
      <c r="I98" s="25">
        <f t="shared" si="9"/>
        <v>0.52502610989675336</v>
      </c>
      <c r="J98" s="25">
        <f t="shared" si="10"/>
        <v>-0.59271385725389247</v>
      </c>
      <c r="K98" s="26">
        <f t="shared" si="11"/>
        <v>1.7940550005142635</v>
      </c>
      <c r="M98" s="31" t="s">
        <v>101</v>
      </c>
      <c r="N98" s="41" cm="1">
        <f t="array" ref="N98">MMULT($H98:$K98,T$31:T$34)</f>
        <v>1.2208811615583195</v>
      </c>
      <c r="O98" s="42" cm="1">
        <f t="array" ref="O98">MMULT($H98:$K98,U$31:U$34)</f>
        <v>-0.57731564665095425</v>
      </c>
      <c r="P98" s="42" cm="1">
        <f t="array" ref="P98">MMULT($H98:$K98,V$31:V$34)</f>
        <v>-0.54918426594244951</v>
      </c>
      <c r="Q98" s="43" cm="1">
        <f t="array" ref="Q98">MMULT($H98:$K98,W$31:W$34)</f>
        <v>1.9612578112842383</v>
      </c>
    </row>
    <row r="99" spans="1:17" x14ac:dyDescent="0.25">
      <c r="A99" s="31" t="s">
        <v>102</v>
      </c>
      <c r="B99" s="21">
        <v>9.3000000000000007</v>
      </c>
      <c r="C99" s="21">
        <v>6</v>
      </c>
      <c r="D99" s="21">
        <v>7</v>
      </c>
      <c r="E99" s="22">
        <v>7</v>
      </c>
      <c r="G99" s="31" t="s">
        <v>102</v>
      </c>
      <c r="H99" s="25">
        <f t="shared" si="12"/>
        <v>1.1155111650294067</v>
      </c>
      <c r="I99" s="25">
        <f t="shared" si="9"/>
        <v>0.52502610989675336</v>
      </c>
      <c r="J99" s="25">
        <f t="shared" si="10"/>
        <v>0.47331826010922279</v>
      </c>
      <c r="K99" s="26">
        <f t="shared" si="11"/>
        <v>0.67427033679604276</v>
      </c>
      <c r="M99" s="31" t="s">
        <v>102</v>
      </c>
      <c r="N99" s="41" cm="1">
        <f t="array" ref="N99">MMULT($H99:$K99,T$31:T$34)</f>
        <v>0.82914529757917788</v>
      </c>
      <c r="O99" s="42" cm="1">
        <f t="array" ref="O99">MMULT($H99:$K99,U$31:U$34)</f>
        <v>0.49920137669971615</v>
      </c>
      <c r="P99" s="42" cm="1">
        <f t="array" ref="P99">MMULT($H99:$K99,V$31:V$34)</f>
        <v>0.73580639901711176</v>
      </c>
      <c r="Q99" s="43" cm="1">
        <f t="array" ref="Q99">MMULT($H99:$K99,W$31:W$34)</f>
        <v>0.55721003999036434</v>
      </c>
    </row>
    <row r="100" spans="1:17" x14ac:dyDescent="0.25">
      <c r="A100" s="31" t="s">
        <v>103</v>
      </c>
      <c r="B100" s="21">
        <v>9</v>
      </c>
      <c r="C100" s="21">
        <v>6.5</v>
      </c>
      <c r="D100" s="21">
        <v>3</v>
      </c>
      <c r="E100" s="22">
        <v>9</v>
      </c>
      <c r="G100" s="31" t="s">
        <v>103</v>
      </c>
      <c r="H100" s="25">
        <f t="shared" si="12"/>
        <v>1.018957977058021</v>
      </c>
      <c r="I100" s="25">
        <f t="shared" si="9"/>
        <v>0.72963488226493445</v>
      </c>
      <c r="J100" s="25">
        <f t="shared" si="10"/>
        <v>-0.94805789637493088</v>
      </c>
      <c r="K100" s="26">
        <f t="shared" si="11"/>
        <v>1.4741165251662001</v>
      </c>
      <c r="M100" s="31" t="s">
        <v>103</v>
      </c>
      <c r="N100" s="41" cm="1">
        <f t="array" ref="N100">MMULT($H100:$K100,T$31:T$34)</f>
        <v>1.1861707373262727</v>
      </c>
      <c r="O100" s="42" cm="1">
        <f t="array" ref="O100">MMULT($H100:$K100,U$31:U$34)</f>
        <v>-0.91896875398274258</v>
      </c>
      <c r="P100" s="42" cm="1">
        <f t="array" ref="P100">MMULT($H100:$K100,V$31:V$34)</f>
        <v>-0.30407986461388647</v>
      </c>
      <c r="Q100" s="43" cm="1">
        <f t="array" ref="Q100">MMULT($H100:$K100,W$31:W$34)</f>
        <v>1.1113914624702952</v>
      </c>
    </row>
    <row r="101" spans="1:17" x14ac:dyDescent="0.25">
      <c r="A101" s="32" t="s">
        <v>104</v>
      </c>
      <c r="B101" s="23">
        <v>8.9</v>
      </c>
      <c r="C101" s="23">
        <v>5</v>
      </c>
      <c r="D101" s="23">
        <v>2</v>
      </c>
      <c r="E101" s="24">
        <v>8</v>
      </c>
      <c r="G101" s="32" t="s">
        <v>104</v>
      </c>
      <c r="H101" s="27">
        <f t="shared" si="12"/>
        <v>0.9867735810675593</v>
      </c>
      <c r="I101" s="27">
        <f t="shared" si="9"/>
        <v>0.11580856516039133</v>
      </c>
      <c r="J101" s="27">
        <f t="shared" si="10"/>
        <v>-1.3034019354959692</v>
      </c>
      <c r="K101" s="28">
        <f t="shared" si="11"/>
        <v>1.0741934309811214</v>
      </c>
      <c r="M101" s="32" t="s">
        <v>104</v>
      </c>
      <c r="N101" s="44" cm="1">
        <f t="array" ref="N101">MMULT($H101:$K101,T$31:T$34)</f>
        <v>0.80729000868792555</v>
      </c>
      <c r="O101" s="45" cm="1">
        <f t="array" ref="O101">MMULT($H101:$K101,U$31:U$34)</f>
        <v>-1.299784635489903</v>
      </c>
      <c r="P101" s="45" cm="1">
        <f t="array" ref="P101">MMULT($H101:$K101,V$31:V$34)</f>
        <v>0.30495364084724841</v>
      </c>
      <c r="Q101" s="46" cm="1">
        <f t="array" ref="Q101">MMULT($H101:$K101,W$31:W$34)</f>
        <v>1.6173918332639339</v>
      </c>
    </row>
    <row r="103" spans="1:17" x14ac:dyDescent="0.25">
      <c r="A103" s="17" t="s">
        <v>122</v>
      </c>
      <c r="B103" s="18">
        <f>AVERAGE(B2:B101)</f>
        <v>5.8339999999999996</v>
      </c>
      <c r="C103" s="18">
        <f>AVERAGE(C2:C101)</f>
        <v>4.7169999999999979</v>
      </c>
      <c r="D103" s="18">
        <f>AVERAGE(D2:D101)</f>
        <v>5.668000000000001</v>
      </c>
      <c r="E103" s="18">
        <f>AVERAGE(E2:E101)</f>
        <v>5.3140000000000001</v>
      </c>
      <c r="G103" s="19" t="s">
        <v>122</v>
      </c>
      <c r="H103" s="20">
        <f>AVERAGE(H2:H101)</f>
        <v>1.4654943925052067E-16</v>
      </c>
      <c r="I103" s="20">
        <f>AVERAGE(I2:I101)</f>
        <v>9.1968099802386399E-16</v>
      </c>
      <c r="J103" s="20">
        <f>AVERAGE(J2:J101)</f>
        <v>-3.4861002973229917E-16</v>
      </c>
      <c r="K103" s="20">
        <f>AVERAGE(K2:K101)</f>
        <v>4.8849813083506888E-17</v>
      </c>
    </row>
    <row r="104" spans="1:17" x14ac:dyDescent="0.25">
      <c r="A104" s="17" t="s">
        <v>123</v>
      </c>
      <c r="B104" s="18">
        <f>_xlfn.STDEV.P(B2:B101)</f>
        <v>3.1070957500534133</v>
      </c>
      <c r="C104" s="18">
        <f>_xlfn.STDEV.P(C2:C101)</f>
        <v>2.4436879915406582</v>
      </c>
      <c r="D104" s="18">
        <f>_xlfn.STDEV.P(D2:D101)</f>
        <v>2.8141741239660329</v>
      </c>
      <c r="E104" s="18">
        <f>_xlfn.STDEV.P(E2:E101)</f>
        <v>2.5004807537751601</v>
      </c>
      <c r="G104" s="19" t="s">
        <v>123</v>
      </c>
      <c r="H104" s="20">
        <f>_xlfn.STDEV.P(H2:H101)</f>
        <v>1.0000000000000009</v>
      </c>
      <c r="I104" s="20">
        <f>_xlfn.STDEV.P(I2:I101)</f>
        <v>0.99999999999999845</v>
      </c>
      <c r="J104" s="20">
        <f>_xlfn.STDEV.P(J2:J101)</f>
        <v>1.0000000000000009</v>
      </c>
      <c r="K104" s="20">
        <f>_xlfn.STDEV.P(K2:K101)</f>
        <v>1.0000000000000004</v>
      </c>
    </row>
  </sheetData>
  <dataConsolidate/>
  <mergeCells count="4">
    <mergeCell ref="Y1:Z2"/>
    <mergeCell ref="T8:W8"/>
    <mergeCell ref="S9:S12"/>
    <mergeCell ref="AD1:AI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3e9a1eb5f0399938bad5de5580a00483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57a6ad4b1bee195a5100a2229dcd6124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D89C9F8F-10F1-4A70-B51A-843A2041CC3A}"/>
</file>

<file path=customXml/itemProps2.xml><?xml version="1.0" encoding="utf-8"?>
<ds:datastoreItem xmlns:ds="http://schemas.openxmlformats.org/officeDocument/2006/customXml" ds:itemID="{6D229171-EC41-431A-A394-926FA753EDDF}"/>
</file>

<file path=customXml/itemProps3.xml><?xml version="1.0" encoding="utf-8"?>
<ds:datastoreItem xmlns:ds="http://schemas.openxmlformats.org/officeDocument/2006/customXml" ds:itemID="{A6D8376C-694A-45E6-A48F-994E7D0F22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Notas Fatorial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Tarantin Junior</cp:lastModifiedBy>
  <dcterms:created xsi:type="dcterms:W3CDTF">2022-05-12T14:23:37Z</dcterms:created>
  <dcterms:modified xsi:type="dcterms:W3CDTF">2025-11-13T14:15:01Z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