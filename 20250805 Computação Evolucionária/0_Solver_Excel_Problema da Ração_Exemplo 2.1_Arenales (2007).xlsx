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388fc285210165e/_DOCÊNCIA/MBA_Data Science_USP_ESALQ/_CURSO_Computação Evolutiva/Scripts_Computação Evolucionária_Aula 1/"/>
    </mc:Choice>
  </mc:AlternateContent>
  <xr:revisionPtr revIDLastSave="1164" documentId="13_ncr:1_{E45C9C01-4FC0-4DD2-AC2F-64CED5826A85}" xr6:coauthVersionLast="47" xr6:coauthVersionMax="47" xr10:uidLastSave="{9CDBF48D-65BF-43EE-8F35-BA77A7D94816}"/>
  <bookViews>
    <workbookView xWindow="-98" yWindow="-98" windowWidth="21795" windowHeight="12975" tabRatio="961" xr2:uid="{610491BD-FF6F-4399-A327-EB13DA770670}"/>
  </bookViews>
  <sheets>
    <sheet name="01-Max" sheetId="1" r:id="rId1"/>
    <sheet name="01-Max (Resolvido)_SIMPLEX" sheetId="11" r:id="rId2"/>
    <sheet name="01-Max (Resolvido)_AG" sheetId="12" r:id="rId3"/>
  </sheets>
  <definedNames>
    <definedName name="solver_adj" localSheetId="0" hidden="1">'01-Max'!$B$4:$D$4</definedName>
    <definedName name="solver_adj" localSheetId="2" hidden="1">'01-Max (Resolvido)_AG'!$B$4:$D$4</definedName>
    <definedName name="solver_adj" localSheetId="1" hidden="1">'01-Max (Resolvido)_SIMPLEX'!$B$4:$D$4</definedName>
    <definedName name="solver_cvg" localSheetId="0" hidden="1">0.0001</definedName>
    <definedName name="solver_cvg" localSheetId="2" hidden="1">0.0001</definedName>
    <definedName name="solver_cvg" localSheetId="1" hidden="1">0.0001</definedName>
    <definedName name="solver_drv" localSheetId="0" hidden="1">1</definedName>
    <definedName name="solver_drv" localSheetId="2" hidden="1">1</definedName>
    <definedName name="solver_drv" localSheetId="1" hidden="1">1</definedName>
    <definedName name="solver_eng" localSheetId="0" hidden="1">2</definedName>
    <definedName name="solver_eng" localSheetId="2" hidden="1">3</definedName>
    <definedName name="solver_eng" localSheetId="1" hidden="1">2</definedName>
    <definedName name="solver_est" localSheetId="0" hidden="1">1</definedName>
    <definedName name="solver_est" localSheetId="2" hidden="1">1</definedName>
    <definedName name="solver_est" localSheetId="1" hidden="1">1</definedName>
    <definedName name="solver_itr" localSheetId="0" hidden="1">2147483647</definedName>
    <definedName name="solver_itr" localSheetId="2" hidden="1">2147483647</definedName>
    <definedName name="solver_itr" localSheetId="1" hidden="1">2147483647</definedName>
    <definedName name="solver_lhs0" localSheetId="0" hidden="1">'01-Max'!$E$9</definedName>
    <definedName name="solver_lhs0" localSheetId="2" hidden="1">'01-Max (Resolvido)_AG'!$E$9</definedName>
    <definedName name="solver_lhs0" localSheetId="1" hidden="1">'01-Max (Resolvido)_SIMPLEX'!$E$9</definedName>
    <definedName name="solver_lhs1" localSheetId="0" hidden="1">'01-Max'!$B$4:$D$4</definedName>
    <definedName name="solver_lhs1" localSheetId="2" hidden="1">'01-Max (Resolvido)_AG'!$B$4</definedName>
    <definedName name="solver_lhs1" localSheetId="1" hidden="1">'01-Max (Resolvido)_SIMPLEX'!$E$10</definedName>
    <definedName name="solver_lhs2" localSheetId="0" hidden="1">'01-Max'!$E$10</definedName>
    <definedName name="solver_lhs2" localSheetId="2" hidden="1">'01-Max (Resolvido)_AG'!$C$4</definedName>
    <definedName name="solver_lhs2" localSheetId="1" hidden="1">'01-Max (Resolvido)_SIMPLEX'!$E$11</definedName>
    <definedName name="solver_lhs3" localSheetId="0" hidden="1">'01-Max'!$E$11</definedName>
    <definedName name="solver_lhs3" localSheetId="2" hidden="1">'01-Max (Resolvido)_AG'!$D$4</definedName>
    <definedName name="solver_lhs3" localSheetId="1" hidden="1">'01-Max (Resolvido)_SIMPLEX'!$E$9</definedName>
    <definedName name="solver_lhs4" localSheetId="0" hidden="1">'01-Max'!$E$9</definedName>
    <definedName name="solver_lhs4" localSheetId="2" hidden="1">'01-Max (Resolvido)_AG'!$E$10</definedName>
    <definedName name="solver_lhs4" localSheetId="1" hidden="1">'01-Max (Resolvido)_SIMPLEX'!$E$11</definedName>
    <definedName name="solver_lhs5" localSheetId="0" hidden="1">'01-Max'!$E$9</definedName>
    <definedName name="solver_lhs5" localSheetId="2" hidden="1">'01-Max (Resolvido)_AG'!$E$11</definedName>
    <definedName name="solver_lhs5" localSheetId="1" hidden="1">'01-Max (Resolvido)_SIMPLEX'!$E$9</definedName>
    <definedName name="solver_lhs6" localSheetId="2" hidden="1">'01-Max (Resolvido)_AG'!$E$9</definedName>
    <definedName name="solver_mip" localSheetId="0" hidden="1">2147483647</definedName>
    <definedName name="solver_mip" localSheetId="2" hidden="1">2147483647</definedName>
    <definedName name="solver_mip" localSheetId="1" hidden="1">2147483647</definedName>
    <definedName name="solver_mni" localSheetId="0" hidden="1">30</definedName>
    <definedName name="solver_mni" localSheetId="2" hidden="1">30</definedName>
    <definedName name="solver_mni" localSheetId="1" hidden="1">30</definedName>
    <definedName name="solver_mrt" localSheetId="0" hidden="1">0.075</definedName>
    <definedName name="solver_mrt" localSheetId="2" hidden="1">0.1</definedName>
    <definedName name="solver_mrt" localSheetId="1" hidden="1">0.075</definedName>
    <definedName name="solver_msl" localSheetId="0" hidden="1">2</definedName>
    <definedName name="solver_msl" localSheetId="2" hidden="1">2</definedName>
    <definedName name="solver_msl" localSheetId="1" hidden="1">2</definedName>
    <definedName name="solver_neg" localSheetId="0" hidden="1">1</definedName>
    <definedName name="solver_neg" localSheetId="2" hidden="1">1</definedName>
    <definedName name="solver_neg" localSheetId="1" hidden="1">1</definedName>
    <definedName name="solver_nod" localSheetId="0" hidden="1">2147483647</definedName>
    <definedName name="solver_nod" localSheetId="2" hidden="1">2147483647</definedName>
    <definedName name="solver_nod" localSheetId="1" hidden="1">2147483647</definedName>
    <definedName name="solver_num" localSheetId="0" hidden="1">4</definedName>
    <definedName name="solver_num" localSheetId="2" hidden="1">6</definedName>
    <definedName name="solver_num" localSheetId="1" hidden="1">3</definedName>
    <definedName name="solver_nwt" localSheetId="0" hidden="1">1</definedName>
    <definedName name="solver_nwt" localSheetId="2" hidden="1">1</definedName>
    <definedName name="solver_nwt" localSheetId="1" hidden="1">1</definedName>
    <definedName name="solver_opt" localSheetId="0" hidden="1">'01-Max'!$B$5</definedName>
    <definedName name="solver_opt" localSheetId="2" hidden="1">'01-Max (Resolvido)_AG'!$B$5</definedName>
    <definedName name="solver_opt" localSheetId="1" hidden="1">'01-Max (Resolvido)_SIMPLEX'!$B$5</definedName>
    <definedName name="solver_pre" localSheetId="0" hidden="1">0.000001</definedName>
    <definedName name="solver_pre" localSheetId="2" hidden="1">0.000001</definedName>
    <definedName name="solver_pre" localSheetId="1" hidden="1">0.000001</definedName>
    <definedName name="solver_rbv" localSheetId="0" hidden="1">1</definedName>
    <definedName name="solver_rbv" localSheetId="2" hidden="1">1</definedName>
    <definedName name="solver_rbv" localSheetId="1" hidden="1">1</definedName>
    <definedName name="solver_rel0" localSheetId="0" hidden="1">1</definedName>
    <definedName name="solver_rel0" localSheetId="2" hidden="1">1</definedName>
    <definedName name="solver_rel0" localSheetId="1" hidden="1">1</definedName>
    <definedName name="solver_rel1" localSheetId="0" hidden="1">3</definedName>
    <definedName name="solver_rel1" localSheetId="2" hidden="1">1</definedName>
    <definedName name="solver_rel1" localSheetId="1" hidden="1">3</definedName>
    <definedName name="solver_rel2" localSheetId="0" hidden="1">3</definedName>
    <definedName name="solver_rel2" localSheetId="2" hidden="1">1</definedName>
    <definedName name="solver_rel2" localSheetId="1" hidden="1">2</definedName>
    <definedName name="solver_rel3" localSheetId="0" hidden="1">2</definedName>
    <definedName name="solver_rel3" localSheetId="2" hidden="1">1</definedName>
    <definedName name="solver_rel3" localSheetId="1" hidden="1">3</definedName>
    <definedName name="solver_rel4" localSheetId="0" hidden="1">3</definedName>
    <definedName name="solver_rel4" localSheetId="2" hidden="1">3</definedName>
    <definedName name="solver_rel4" localSheetId="1" hidden="1">1</definedName>
    <definedName name="solver_rel5" localSheetId="0" hidden="1">1</definedName>
    <definedName name="solver_rel5" localSheetId="2" hidden="1">2</definedName>
    <definedName name="solver_rel5" localSheetId="1" hidden="1">1</definedName>
    <definedName name="solver_rel6" localSheetId="2" hidden="1">3</definedName>
    <definedName name="solver_rhs0" localSheetId="0" hidden="1">'01-Max'!$F$9</definedName>
    <definedName name="solver_rhs0" localSheetId="2" hidden="1">'01-Max (Resolvido)_AG'!$F$9</definedName>
    <definedName name="solver_rhs0" localSheetId="1" hidden="1">'01-Max (Resolvido)_SIMPLEX'!$F$9</definedName>
    <definedName name="solver_rhs1" localSheetId="0" hidden="1">0</definedName>
    <definedName name="solver_rhs1" localSheetId="2" hidden="1">1</definedName>
    <definedName name="solver_rhs1" localSheetId="1" hidden="1">'01-Max (Resolvido)_SIMPLEX'!$F$10</definedName>
    <definedName name="solver_rhs2" localSheetId="0" hidden="1">'01-Max'!$F$10</definedName>
    <definedName name="solver_rhs2" localSheetId="2" hidden="1">1</definedName>
    <definedName name="solver_rhs2" localSheetId="1" hidden="1">'01-Max (Resolvido)_SIMPLEX'!$F$11</definedName>
    <definedName name="solver_rhs3" localSheetId="0" hidden="1">'01-Max'!$F$11</definedName>
    <definedName name="solver_rhs3" localSheetId="2" hidden="1">1</definedName>
    <definedName name="solver_rhs3" localSheetId="1" hidden="1">'01-Max (Resolvido)_SIMPLEX'!$F$9</definedName>
    <definedName name="solver_rhs4" localSheetId="0" hidden="1">'01-Max'!$F$9</definedName>
    <definedName name="solver_rhs4" localSheetId="2" hidden="1">'01-Max (Resolvido)_AG'!$F$10</definedName>
    <definedName name="solver_rhs4" localSheetId="1" hidden="1">'01-Max (Resolvido)_SIMPLEX'!$F$11</definedName>
    <definedName name="solver_rhs5" localSheetId="0" hidden="1">'01-Max'!$F$9</definedName>
    <definedName name="solver_rhs5" localSheetId="2" hidden="1">'01-Max (Resolvido)_AG'!$F$11</definedName>
    <definedName name="solver_rhs5" localSheetId="1" hidden="1">'01-Max (Resolvido)_SIMPLEX'!$F$9</definedName>
    <definedName name="solver_rhs6" localSheetId="2" hidden="1">'01-Max (Resolvido)_AG'!$F$9</definedName>
    <definedName name="solver_rlx" localSheetId="0" hidden="1">2</definedName>
    <definedName name="solver_rlx" localSheetId="2" hidden="1">2</definedName>
    <definedName name="solver_rlx" localSheetId="1" hidden="1">2</definedName>
    <definedName name="solver_rsd" localSheetId="0" hidden="1">0</definedName>
    <definedName name="solver_rsd" localSheetId="2" hidden="1">0</definedName>
    <definedName name="solver_rsd" localSheetId="1" hidden="1">0</definedName>
    <definedName name="solver_scl" localSheetId="0" hidden="1">1</definedName>
    <definedName name="solver_scl" localSheetId="2" hidden="1">1</definedName>
    <definedName name="solver_scl" localSheetId="1" hidden="1">1</definedName>
    <definedName name="solver_sho" localSheetId="0" hidden="1">2</definedName>
    <definedName name="solver_sho" localSheetId="2" hidden="1">2</definedName>
    <definedName name="solver_sho" localSheetId="1" hidden="1">2</definedName>
    <definedName name="solver_ssz" localSheetId="0" hidden="1">100</definedName>
    <definedName name="solver_ssz" localSheetId="2" hidden="1">100</definedName>
    <definedName name="solver_ssz" localSheetId="1" hidden="1">100</definedName>
    <definedName name="solver_tim" localSheetId="0" hidden="1">2147483647</definedName>
    <definedName name="solver_tim" localSheetId="2" hidden="1">2147483647</definedName>
    <definedName name="solver_tim" localSheetId="1" hidden="1">2147483647</definedName>
    <definedName name="solver_tol" localSheetId="0" hidden="1">0.01</definedName>
    <definedName name="solver_tol" localSheetId="2" hidden="1">0.01</definedName>
    <definedName name="solver_tol" localSheetId="1" hidden="1">0.01</definedName>
    <definedName name="solver_typ" localSheetId="0" hidden="1">2</definedName>
    <definedName name="solver_typ" localSheetId="2" hidden="1">2</definedName>
    <definedName name="solver_typ" localSheetId="1" hidden="1">2</definedName>
    <definedName name="solver_val" localSheetId="0" hidden="1">0</definedName>
    <definedName name="solver_val" localSheetId="2" hidden="1">0</definedName>
    <definedName name="solver_val" localSheetId="1" hidden="1">0</definedName>
    <definedName name="solver_ver" localSheetId="0" hidden="1">3</definedName>
    <definedName name="solver_ver" localSheetId="2" hidden="1">3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11" i="12" l="1"/>
  <c r="E10" i="12"/>
  <c r="E9" i="12"/>
  <c r="B5" i="12"/>
  <c r="E11" i="11"/>
  <c r="E10" i="11"/>
  <c r="E9" i="11"/>
  <c r="B5" i="11"/>
  <c r="E11" i="1"/>
  <c r="E10" i="1"/>
  <c r="E9" i="1"/>
  <c r="B5" i="1"/>
</calcChain>
</file>

<file path=xl/sharedStrings.xml><?xml version="1.0" encoding="utf-8"?>
<sst xmlns="http://schemas.openxmlformats.org/spreadsheetml/2006/main" count="75" uniqueCount="19">
  <si>
    <t xml:space="preserve">Coeficientes </t>
  </si>
  <si>
    <t>x1</t>
  </si>
  <si>
    <t>x2</t>
  </si>
  <si>
    <t>parâmetros</t>
  </si>
  <si>
    <t>FUNÇÃO OBJETIVO</t>
  </si>
  <si>
    <t>VALORES ÓTIMOS</t>
  </si>
  <si>
    <t>Z=</t>
  </si>
  <si>
    <t>LHS</t>
  </si>
  <si>
    <t>RHS</t>
  </si>
  <si>
    <t>"(1)"</t>
  </si>
  <si>
    <t>"(3)"</t>
  </si>
  <si>
    <t>"(2)"</t>
  </si>
  <si>
    <t>nº</t>
  </si>
  <si>
    <t>RESTRIÇÕES</t>
  </si>
  <si>
    <t>Constante</t>
  </si>
  <si>
    <t>x3</t>
  </si>
  <si>
    <t>osso</t>
  </si>
  <si>
    <t>soja</t>
  </si>
  <si>
    <t>peixe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</si>
</sst>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theme="9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/>
    </xf>
    <xf numFmtId="166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415902</xdr:colOff>
      <xdr:row>0</xdr:row>
      <xdr:rowOff>93101</xdr:rowOff>
    </xdr:from>
    <xdr:ext cx="2683386" cy="1628725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6AF41B90-234F-4AAE-9472-97F8E0F54FE9}"/>
            </a:ext>
          </a:extLst>
        </xdr:cNvPr>
        <xdr:cNvSpPr txBox="1"/>
      </xdr:nvSpPr>
      <xdr:spPr>
        <a:xfrm>
          <a:off x="4841364" y="93101"/>
          <a:ext cx="2683386" cy="1628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/>
            <a:t>MIN Z = 0,56</a:t>
          </a:r>
          <a:r>
            <a:rPr lang="pt-BR" sz="1400" baseline="0"/>
            <a:t> </a:t>
          </a:r>
          <a:r>
            <a:rPr lang="en-US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sz="14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 </a:t>
          </a:r>
          <a:r>
            <a:rPr lang="pt-BR" sz="1400" baseline="0"/>
            <a:t>+ 0,81 </a:t>
          </a:r>
          <a:r>
            <a:rPr lang="en-US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sz="14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 </a:t>
          </a:r>
          <a:r>
            <a:rPr lang="pt-BR" sz="14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+ 0,46 </a:t>
          </a:r>
          <a:r>
            <a:rPr lang="en-US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sz="14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Sujeito a: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aseline="-250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0,2 x</a:t>
          </a:r>
          <a:r>
            <a:rPr lang="en-US" sz="14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pt-BR" sz="14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+ 0,5 </a:t>
          </a:r>
          <a:r>
            <a:rPr lang="en-US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sz="14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pt-BR" sz="14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+ 0,4 </a:t>
          </a:r>
          <a:r>
            <a:rPr lang="en-US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sz="14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  </a:t>
          </a:r>
          <a:r>
            <a:rPr lang="en-US" sz="14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≥  0,3   </a:t>
          </a:r>
          <a:r>
            <a:rPr lang="en-US" sz="1400" baseline="0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(1)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0,6 </a:t>
          </a:r>
          <a:r>
            <a:rPr lang="en-US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sz="14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pt-BR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+ 0,4 </a:t>
          </a:r>
          <a:r>
            <a:rPr lang="en-US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sz="14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pt-BR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+ 0,4 </a:t>
          </a:r>
          <a:r>
            <a:rPr lang="en-US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sz="14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pt-BR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≥  0,5  </a:t>
          </a:r>
          <a:r>
            <a:rPr lang="en-US" sz="1400" baseline="0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(2)</a:t>
          </a:r>
          <a:endParaRPr lang="pt-BR" sz="1400">
            <a:solidFill>
              <a:srgbClr val="00B050"/>
            </a:solidFill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n-US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sz="14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 </a:t>
          </a:r>
          <a:r>
            <a:rPr lang="pt-BR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+ </a:t>
          </a:r>
          <a:r>
            <a:rPr lang="en-US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sz="14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pt-BR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+ </a:t>
          </a:r>
          <a:r>
            <a:rPr lang="en-US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sz="14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pt-BR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=  1  </a:t>
          </a:r>
          <a:r>
            <a:rPr lang="en-US" sz="1400" baseline="0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(3)</a:t>
          </a:r>
          <a:endParaRPr lang="pt-BR" sz="1400">
            <a:solidFill>
              <a:srgbClr val="00B050"/>
            </a:solidFill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x</a:t>
          </a:r>
          <a:r>
            <a:rPr lang="en-US" sz="14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 </a:t>
          </a:r>
          <a:r>
            <a:rPr lang="en-US" sz="14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≥ 0, </a:t>
          </a:r>
          <a:r>
            <a:rPr lang="en-US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sz="14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 </a:t>
          </a:r>
          <a:r>
            <a:rPr lang="en-US" sz="14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≥ 0 e </a:t>
          </a:r>
          <a:r>
            <a:rPr lang="en-US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sz="14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 </a:t>
          </a:r>
          <a:r>
            <a:rPr lang="en-US" sz="14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≥ 0  </a:t>
          </a:r>
          <a:endParaRPr lang="pt-BR" sz="14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4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4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400">
            <a:effectLst/>
          </a:endParaRPr>
        </a:p>
        <a:p>
          <a:pPr eaLnBrk="1" fontAlgn="auto" latinLnBrk="0" hangingPunct="1"/>
          <a:endParaRPr lang="pt-BR" sz="1400">
            <a:effectLst/>
          </a:endParaRPr>
        </a:p>
        <a:p>
          <a:pPr eaLnBrk="1" fontAlgn="auto" latinLnBrk="0" hangingPunct="1"/>
          <a:endParaRPr lang="pt-BR" sz="1400">
            <a:effectLst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591747</xdr:colOff>
      <xdr:row>0</xdr:row>
      <xdr:rowOff>188353</xdr:rowOff>
    </xdr:from>
    <xdr:ext cx="3434730" cy="1959102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1D000194-8B77-4145-ADB1-49F6B52AF64A}"/>
            </a:ext>
          </a:extLst>
        </xdr:cNvPr>
        <xdr:cNvSpPr txBox="1"/>
      </xdr:nvSpPr>
      <xdr:spPr>
        <a:xfrm>
          <a:off x="5020872" y="188353"/>
          <a:ext cx="3434730" cy="195910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/>
            <a:t>MIN Z = 0,56</a:t>
          </a:r>
          <a:r>
            <a:rPr lang="pt-BR" sz="1400" baseline="0"/>
            <a:t> </a:t>
          </a:r>
          <a:r>
            <a:rPr lang="en-US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sz="14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 </a:t>
          </a:r>
          <a:r>
            <a:rPr lang="pt-BR" sz="1400" baseline="0"/>
            <a:t>+ 0,81 </a:t>
          </a:r>
          <a:r>
            <a:rPr lang="en-US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sz="14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 </a:t>
          </a:r>
          <a:r>
            <a:rPr lang="pt-BR" sz="14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+ 0,46 </a:t>
          </a:r>
          <a:r>
            <a:rPr lang="en-US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sz="14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Sujeito a: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aseline="-250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0,2 x</a:t>
          </a:r>
          <a:r>
            <a:rPr lang="en-US" sz="14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pt-BR" sz="14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+ 0,5 </a:t>
          </a:r>
          <a:r>
            <a:rPr lang="en-US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sz="14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pt-BR" sz="14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+ 0,5 </a:t>
          </a:r>
          <a:r>
            <a:rPr lang="en-US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sz="14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  </a:t>
          </a:r>
          <a:r>
            <a:rPr lang="en-US" sz="14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≥  0,3   </a:t>
          </a:r>
          <a:r>
            <a:rPr lang="en-US" sz="1400" baseline="0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(1)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0,6 </a:t>
          </a:r>
          <a:r>
            <a:rPr lang="en-US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sz="14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pt-BR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+ 0,4 </a:t>
          </a:r>
          <a:r>
            <a:rPr lang="en-US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sz="14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pt-BR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+ 0,4 </a:t>
          </a:r>
          <a:r>
            <a:rPr lang="en-US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sz="14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pt-BR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≥  0,5  </a:t>
          </a:r>
          <a:r>
            <a:rPr lang="en-US" sz="1400" baseline="0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(2)</a:t>
          </a:r>
          <a:endParaRPr lang="pt-BR" sz="1400">
            <a:solidFill>
              <a:srgbClr val="00B050"/>
            </a:solidFill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n-US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sz="14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 </a:t>
          </a:r>
          <a:r>
            <a:rPr lang="pt-BR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+ </a:t>
          </a:r>
          <a:r>
            <a:rPr lang="en-US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sz="14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pt-BR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+ </a:t>
          </a:r>
          <a:r>
            <a:rPr lang="en-US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sz="14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pt-BR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=  1  </a:t>
          </a:r>
          <a:r>
            <a:rPr lang="en-US" sz="1400" baseline="0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(3)</a:t>
          </a:r>
          <a:endParaRPr lang="pt-BR" sz="1400">
            <a:solidFill>
              <a:srgbClr val="00B050"/>
            </a:solidFill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x</a:t>
          </a:r>
          <a:r>
            <a:rPr lang="en-US" sz="14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 </a:t>
          </a:r>
          <a:r>
            <a:rPr lang="en-US" sz="14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≥ 0, </a:t>
          </a:r>
          <a:r>
            <a:rPr lang="en-US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sz="14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 </a:t>
          </a:r>
          <a:r>
            <a:rPr lang="en-US" sz="14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≥ 0 e </a:t>
          </a:r>
          <a:r>
            <a:rPr lang="en-US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sz="14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 </a:t>
          </a:r>
          <a:r>
            <a:rPr lang="en-US" sz="14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≥ 0  </a:t>
          </a:r>
          <a:endParaRPr lang="pt-BR" sz="14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4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4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400">
            <a:effectLst/>
          </a:endParaRPr>
        </a:p>
        <a:p>
          <a:pPr eaLnBrk="1" fontAlgn="auto" latinLnBrk="0" hangingPunct="1"/>
          <a:endParaRPr lang="pt-BR" sz="1400">
            <a:effectLst/>
          </a:endParaRPr>
        </a:p>
        <a:p>
          <a:pPr eaLnBrk="1" fontAlgn="auto" latinLnBrk="0" hangingPunct="1"/>
          <a:endParaRPr lang="pt-BR" sz="1400">
            <a:effectLst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591747</xdr:colOff>
      <xdr:row>0</xdr:row>
      <xdr:rowOff>188353</xdr:rowOff>
    </xdr:from>
    <xdr:ext cx="3434730" cy="1959102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51FF487E-F3DF-4B5C-BA1A-6F648615479D}"/>
            </a:ext>
          </a:extLst>
        </xdr:cNvPr>
        <xdr:cNvSpPr txBox="1"/>
      </xdr:nvSpPr>
      <xdr:spPr>
        <a:xfrm>
          <a:off x="5316147" y="178828"/>
          <a:ext cx="3434730" cy="195910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/>
            <a:t>MIN Z = 0,56</a:t>
          </a:r>
          <a:r>
            <a:rPr lang="pt-BR" sz="1400" baseline="0"/>
            <a:t> </a:t>
          </a:r>
          <a:r>
            <a:rPr lang="en-US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sz="14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 </a:t>
          </a:r>
          <a:r>
            <a:rPr lang="pt-BR" sz="1400" baseline="0"/>
            <a:t>+ 0,81 </a:t>
          </a:r>
          <a:r>
            <a:rPr lang="en-US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sz="14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 </a:t>
          </a:r>
          <a:r>
            <a:rPr lang="pt-BR" sz="14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+ 0,46 </a:t>
          </a:r>
          <a:r>
            <a:rPr lang="en-US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sz="14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Sujeito a: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aseline="-250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0,2 x</a:t>
          </a:r>
          <a:r>
            <a:rPr lang="en-US" sz="14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pt-BR" sz="14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+ 0,5 </a:t>
          </a:r>
          <a:r>
            <a:rPr lang="en-US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sz="14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pt-BR" sz="14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+ 0,5 </a:t>
          </a:r>
          <a:r>
            <a:rPr lang="en-US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sz="14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  </a:t>
          </a:r>
          <a:r>
            <a:rPr lang="en-US" sz="14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≥  0,3   </a:t>
          </a:r>
          <a:r>
            <a:rPr lang="en-US" sz="1400" baseline="0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(1)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0,6 </a:t>
          </a:r>
          <a:r>
            <a:rPr lang="en-US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sz="14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pt-BR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+ 0,4 </a:t>
          </a:r>
          <a:r>
            <a:rPr lang="en-US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sz="14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pt-BR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+ 0,4 </a:t>
          </a:r>
          <a:r>
            <a:rPr lang="en-US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sz="14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pt-BR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≥  0,5  </a:t>
          </a:r>
          <a:r>
            <a:rPr lang="en-US" sz="1400" baseline="0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(2)</a:t>
          </a:r>
          <a:endParaRPr lang="pt-BR" sz="1400">
            <a:solidFill>
              <a:srgbClr val="00B050"/>
            </a:solidFill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n-US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sz="14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 </a:t>
          </a:r>
          <a:r>
            <a:rPr lang="pt-BR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+ </a:t>
          </a:r>
          <a:r>
            <a:rPr lang="en-US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sz="14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pt-BR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+ </a:t>
          </a:r>
          <a:r>
            <a:rPr lang="en-US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sz="14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pt-BR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=  1  </a:t>
          </a:r>
          <a:r>
            <a:rPr lang="en-US" sz="1400" baseline="0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(3)</a:t>
          </a:r>
          <a:endParaRPr lang="pt-BR" sz="1400">
            <a:solidFill>
              <a:srgbClr val="00B050"/>
            </a:solidFill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x</a:t>
          </a:r>
          <a:r>
            <a:rPr lang="en-US" sz="14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 </a:t>
          </a:r>
          <a:r>
            <a:rPr lang="en-US" sz="14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≥ 0, </a:t>
          </a:r>
          <a:r>
            <a:rPr lang="en-US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sz="14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 </a:t>
          </a:r>
          <a:r>
            <a:rPr lang="en-US" sz="14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≥ 0 e </a:t>
          </a:r>
          <a:r>
            <a:rPr lang="en-US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</a:t>
          </a:r>
          <a:r>
            <a:rPr lang="en-US" sz="1400" baseline="-25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 </a:t>
          </a:r>
          <a:r>
            <a:rPr lang="en-US" sz="14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≥ 0  </a:t>
          </a:r>
          <a:endParaRPr lang="pt-BR" sz="14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4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4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400">
            <a:effectLst/>
          </a:endParaRPr>
        </a:p>
        <a:p>
          <a:pPr eaLnBrk="1" fontAlgn="auto" latinLnBrk="0" hangingPunct="1"/>
          <a:endParaRPr lang="pt-BR" sz="1400">
            <a:effectLst/>
          </a:endParaRPr>
        </a:p>
        <a:p>
          <a:pPr eaLnBrk="1" fontAlgn="auto" latinLnBrk="0" hangingPunct="1"/>
          <a:endParaRPr lang="pt-BR" sz="1400"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37C67-87BF-4D68-886E-C6787C677084}">
  <dimension ref="A1:G11"/>
  <sheetViews>
    <sheetView showGridLines="0" tabSelected="1" zoomScale="120" zoomScaleNormal="120" workbookViewId="0">
      <selection sqref="A1:A2"/>
    </sheetView>
  </sheetViews>
  <sheetFormatPr defaultRowHeight="14.25" x14ac:dyDescent="0.45"/>
  <cols>
    <col min="1" max="1" width="20.796875" customWidth="1"/>
  </cols>
  <sheetData>
    <row r="1" spans="1:7" x14ac:dyDescent="0.45">
      <c r="A1" s="9" t="s">
        <v>4</v>
      </c>
      <c r="B1" s="9" t="s">
        <v>0</v>
      </c>
      <c r="C1" s="9"/>
      <c r="D1" s="2"/>
    </row>
    <row r="2" spans="1:7" x14ac:dyDescent="0.45">
      <c r="A2" s="9"/>
      <c r="B2" s="2" t="s">
        <v>1</v>
      </c>
      <c r="C2" s="2" t="s">
        <v>2</v>
      </c>
      <c r="D2" s="2" t="s">
        <v>15</v>
      </c>
    </row>
    <row r="3" spans="1:7" x14ac:dyDescent="0.45">
      <c r="A3" s="2" t="s">
        <v>3</v>
      </c>
      <c r="B3" s="2">
        <v>0.56000000000000005</v>
      </c>
      <c r="C3" s="2">
        <v>0.81</v>
      </c>
      <c r="D3" s="2">
        <v>0.46</v>
      </c>
      <c r="F3" t="s">
        <v>1</v>
      </c>
      <c r="G3" t="s">
        <v>16</v>
      </c>
    </row>
    <row r="4" spans="1:7" x14ac:dyDescent="0.45">
      <c r="A4" t="s">
        <v>5</v>
      </c>
      <c r="B4" s="6"/>
      <c r="C4" s="6"/>
      <c r="D4" s="6"/>
      <c r="F4" t="s">
        <v>2</v>
      </c>
      <c r="G4" t="s">
        <v>17</v>
      </c>
    </row>
    <row r="5" spans="1:7" x14ac:dyDescent="0.45">
      <c r="A5" s="3" t="s">
        <v>6</v>
      </c>
      <c r="B5" s="10">
        <f>(B3*B4)+(C3*C4)+(D3*D4)</f>
        <v>0</v>
      </c>
      <c r="C5" s="10"/>
      <c r="D5" s="10"/>
      <c r="F5" t="s">
        <v>15</v>
      </c>
      <c r="G5" t="s">
        <v>18</v>
      </c>
    </row>
    <row r="6" spans="1:7" x14ac:dyDescent="0.45">
      <c r="A6" s="3"/>
      <c r="B6" s="1"/>
      <c r="C6" s="1"/>
      <c r="D6" s="1"/>
    </row>
    <row r="7" spans="1:7" x14ac:dyDescent="0.45">
      <c r="A7" s="1" t="s">
        <v>13</v>
      </c>
      <c r="F7" t="s">
        <v>14</v>
      </c>
    </row>
    <row r="8" spans="1:7" x14ac:dyDescent="0.45">
      <c r="A8" s="5" t="s">
        <v>12</v>
      </c>
      <c r="B8" s="2" t="s">
        <v>1</v>
      </c>
      <c r="C8" s="2" t="s">
        <v>2</v>
      </c>
      <c r="D8" s="2" t="s">
        <v>15</v>
      </c>
      <c r="E8" s="2" t="s">
        <v>7</v>
      </c>
      <c r="F8" s="2" t="s">
        <v>8</v>
      </c>
    </row>
    <row r="9" spans="1:7" x14ac:dyDescent="0.45">
      <c r="A9" s="4" t="s">
        <v>9</v>
      </c>
      <c r="B9" s="2">
        <v>0.2</v>
      </c>
      <c r="C9" s="2">
        <v>0.5</v>
      </c>
      <c r="D9" s="2">
        <v>0.4</v>
      </c>
      <c r="E9" s="7">
        <f>B9*$B$4+C9*$C$4+D9*$D$4</f>
        <v>0</v>
      </c>
      <c r="F9" s="7">
        <v>0.3</v>
      </c>
    </row>
    <row r="10" spans="1:7" x14ac:dyDescent="0.45">
      <c r="A10" s="4" t="s">
        <v>11</v>
      </c>
      <c r="B10" s="2">
        <v>0.6</v>
      </c>
      <c r="C10" s="2">
        <v>0.4</v>
      </c>
      <c r="D10" s="2">
        <v>0.4</v>
      </c>
      <c r="E10" s="7">
        <f t="shared" ref="E10:E11" si="0">B10*$B$4+C10*$C$4+D10*$D$4</f>
        <v>0</v>
      </c>
      <c r="F10" s="7">
        <v>0.5</v>
      </c>
    </row>
    <row r="11" spans="1:7" x14ac:dyDescent="0.45">
      <c r="A11" s="4" t="s">
        <v>10</v>
      </c>
      <c r="B11" s="2">
        <v>1</v>
      </c>
      <c r="C11" s="2">
        <v>1</v>
      </c>
      <c r="D11" s="2">
        <v>1</v>
      </c>
      <c r="E11" s="7">
        <f t="shared" si="0"/>
        <v>0</v>
      </c>
      <c r="F11" s="7">
        <v>1</v>
      </c>
    </row>
  </sheetData>
  <mergeCells count="3">
    <mergeCell ref="B1:C1"/>
    <mergeCell ref="A1:A2"/>
    <mergeCell ref="B5:D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5EB32-BDB6-4869-8781-3B1EEB46B628}">
  <dimension ref="A1:G11"/>
  <sheetViews>
    <sheetView showGridLines="0" zoomScale="110" zoomScaleNormal="110" workbookViewId="0">
      <selection activeCell="B5" sqref="B5:D5"/>
    </sheetView>
  </sheetViews>
  <sheetFormatPr defaultRowHeight="14.25" x14ac:dyDescent="0.45"/>
  <cols>
    <col min="1" max="1" width="20.796875" customWidth="1"/>
  </cols>
  <sheetData>
    <row r="1" spans="1:7" x14ac:dyDescent="0.45">
      <c r="A1" s="9" t="s">
        <v>4</v>
      </c>
      <c r="B1" s="9" t="s">
        <v>0</v>
      </c>
      <c r="C1" s="9"/>
      <c r="D1" s="2"/>
    </row>
    <row r="2" spans="1:7" x14ac:dyDescent="0.45">
      <c r="A2" s="9"/>
      <c r="B2" s="2" t="s">
        <v>1</v>
      </c>
      <c r="C2" s="2" t="s">
        <v>2</v>
      </c>
      <c r="D2" s="2" t="s">
        <v>15</v>
      </c>
    </row>
    <row r="3" spans="1:7" x14ac:dyDescent="0.45">
      <c r="A3" s="2" t="s">
        <v>3</v>
      </c>
      <c r="B3" s="2">
        <v>0.56000000000000005</v>
      </c>
      <c r="C3" s="2">
        <v>0.81</v>
      </c>
      <c r="D3" s="2">
        <v>0.46</v>
      </c>
      <c r="F3" t="s">
        <v>1</v>
      </c>
      <c r="G3" t="s">
        <v>16</v>
      </c>
    </row>
    <row r="4" spans="1:7" x14ac:dyDescent="0.45">
      <c r="A4" t="s">
        <v>5</v>
      </c>
      <c r="B4" s="8">
        <v>0.5</v>
      </c>
      <c r="C4" s="8">
        <v>0</v>
      </c>
      <c r="D4" s="8">
        <v>0.49999999999999989</v>
      </c>
      <c r="F4" t="s">
        <v>2</v>
      </c>
      <c r="G4" t="s">
        <v>17</v>
      </c>
    </row>
    <row r="5" spans="1:7" x14ac:dyDescent="0.45">
      <c r="A5" s="3" t="s">
        <v>6</v>
      </c>
      <c r="B5" s="11">
        <f>(B3*B4)+(C3*C4)+(D3*D4)</f>
        <v>0.51</v>
      </c>
      <c r="C5" s="11"/>
      <c r="D5" s="11"/>
      <c r="F5" t="s">
        <v>15</v>
      </c>
      <c r="G5" t="s">
        <v>18</v>
      </c>
    </row>
    <row r="6" spans="1:7" x14ac:dyDescent="0.45">
      <c r="A6" s="3"/>
      <c r="B6" s="1"/>
      <c r="C6" s="1"/>
      <c r="D6" s="1"/>
    </row>
    <row r="7" spans="1:7" x14ac:dyDescent="0.45">
      <c r="A7" s="1" t="s">
        <v>13</v>
      </c>
      <c r="F7" t="s">
        <v>14</v>
      </c>
    </row>
    <row r="8" spans="1:7" x14ac:dyDescent="0.45">
      <c r="A8" s="5" t="s">
        <v>12</v>
      </c>
      <c r="B8" s="2" t="s">
        <v>1</v>
      </c>
      <c r="C8" s="2" t="s">
        <v>2</v>
      </c>
      <c r="D8" s="2" t="s">
        <v>15</v>
      </c>
      <c r="E8" s="2" t="s">
        <v>7</v>
      </c>
      <c r="F8" s="2" t="s">
        <v>8</v>
      </c>
    </row>
    <row r="9" spans="1:7" x14ac:dyDescent="0.45">
      <c r="A9" s="4" t="s">
        <v>9</v>
      </c>
      <c r="B9" s="2">
        <v>0.2</v>
      </c>
      <c r="C9" s="2">
        <v>0.5</v>
      </c>
      <c r="D9" s="2">
        <v>0.5</v>
      </c>
      <c r="E9" s="7">
        <f>B9*$B$4+C9*$C$4+D9*$D$4</f>
        <v>0.35</v>
      </c>
      <c r="F9" s="7">
        <v>0.3</v>
      </c>
    </row>
    <row r="10" spans="1:7" x14ac:dyDescent="0.45">
      <c r="A10" s="4" t="s">
        <v>11</v>
      </c>
      <c r="B10" s="2">
        <v>0.6</v>
      </c>
      <c r="C10" s="2">
        <v>0.4</v>
      </c>
      <c r="D10" s="2">
        <v>0.4</v>
      </c>
      <c r="E10" s="7">
        <f t="shared" ref="E10:E11" si="0">B10*$B$4+C10*$C$4+D10*$D$4</f>
        <v>0.49999999999999994</v>
      </c>
      <c r="F10" s="7">
        <v>0.5</v>
      </c>
    </row>
    <row r="11" spans="1:7" x14ac:dyDescent="0.45">
      <c r="A11" s="4" t="s">
        <v>10</v>
      </c>
      <c r="B11" s="2">
        <v>1</v>
      </c>
      <c r="C11" s="2">
        <v>1</v>
      </c>
      <c r="D11" s="2">
        <v>1</v>
      </c>
      <c r="E11" s="7">
        <f t="shared" si="0"/>
        <v>0.99999999999999989</v>
      </c>
      <c r="F11" s="7">
        <v>1</v>
      </c>
    </row>
  </sheetData>
  <mergeCells count="3">
    <mergeCell ref="A1:A2"/>
    <mergeCell ref="B1:C1"/>
    <mergeCell ref="B5:D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EDB90-01A5-4301-B8FB-F636E0D05ED9}">
  <dimension ref="A1:G11"/>
  <sheetViews>
    <sheetView showGridLines="0" zoomScale="110" zoomScaleNormal="110" workbookViewId="0">
      <selection activeCell="D15" sqref="D15"/>
    </sheetView>
  </sheetViews>
  <sheetFormatPr defaultRowHeight="14.25" x14ac:dyDescent="0.45"/>
  <cols>
    <col min="1" max="1" width="20.796875" customWidth="1"/>
  </cols>
  <sheetData>
    <row r="1" spans="1:7" x14ac:dyDescent="0.45">
      <c r="A1" s="9" t="s">
        <v>4</v>
      </c>
      <c r="B1" s="9" t="s">
        <v>0</v>
      </c>
      <c r="C1" s="9"/>
      <c r="D1" s="2"/>
    </row>
    <row r="2" spans="1:7" x14ac:dyDescent="0.45">
      <c r="A2" s="9"/>
      <c r="B2" s="2" t="s">
        <v>1</v>
      </c>
      <c r="C2" s="2" t="s">
        <v>2</v>
      </c>
      <c r="D2" s="2" t="s">
        <v>15</v>
      </c>
    </row>
    <row r="3" spans="1:7" x14ac:dyDescent="0.45">
      <c r="A3" s="2" t="s">
        <v>3</v>
      </c>
      <c r="B3" s="2">
        <v>0.56000000000000005</v>
      </c>
      <c r="C3" s="2">
        <v>0.81</v>
      </c>
      <c r="D3" s="2">
        <v>0.46</v>
      </c>
      <c r="F3" t="s">
        <v>1</v>
      </c>
      <c r="G3" t="s">
        <v>16</v>
      </c>
    </row>
    <row r="4" spans="1:7" x14ac:dyDescent="0.45">
      <c r="A4" t="s">
        <v>5</v>
      </c>
      <c r="B4" s="8">
        <v>0.53783134482826511</v>
      </c>
      <c r="C4" s="8">
        <v>2.9746062691438872E-4</v>
      </c>
      <c r="D4" s="8">
        <v>0.45987379348055679</v>
      </c>
      <c r="F4" t="s">
        <v>2</v>
      </c>
      <c r="G4" t="s">
        <v>17</v>
      </c>
    </row>
    <row r="5" spans="1:7" x14ac:dyDescent="0.45">
      <c r="A5" s="3" t="s">
        <v>6</v>
      </c>
      <c r="B5" s="11">
        <f>(B3*B4)+(C3*C4)+(D3*D4)</f>
        <v>0.51296844121268526</v>
      </c>
      <c r="C5" s="11"/>
      <c r="D5" s="11"/>
      <c r="F5" t="s">
        <v>15</v>
      </c>
      <c r="G5" t="s">
        <v>18</v>
      </c>
    </row>
    <row r="6" spans="1:7" x14ac:dyDescent="0.45">
      <c r="A6" s="3"/>
      <c r="B6" s="1"/>
      <c r="C6" s="1"/>
      <c r="D6" s="1"/>
    </row>
    <row r="7" spans="1:7" x14ac:dyDescent="0.45">
      <c r="A7" s="1" t="s">
        <v>13</v>
      </c>
      <c r="F7" t="s">
        <v>14</v>
      </c>
    </row>
    <row r="8" spans="1:7" x14ac:dyDescent="0.45">
      <c r="A8" s="5" t="s">
        <v>12</v>
      </c>
      <c r="B8" s="2" t="s">
        <v>1</v>
      </c>
      <c r="C8" s="2" t="s">
        <v>2</v>
      </c>
      <c r="D8" s="2" t="s">
        <v>15</v>
      </c>
      <c r="E8" s="2" t="s">
        <v>7</v>
      </c>
      <c r="F8" s="2" t="s">
        <v>8</v>
      </c>
    </row>
    <row r="9" spans="1:7" x14ac:dyDescent="0.45">
      <c r="A9" s="4" t="s">
        <v>9</v>
      </c>
      <c r="B9" s="2">
        <v>0.2</v>
      </c>
      <c r="C9" s="2">
        <v>0.5</v>
      </c>
      <c r="D9" s="2">
        <v>0.5</v>
      </c>
      <c r="E9" s="7">
        <f>B9*$B$4+C9*$C$4+D9*$D$4</f>
        <v>0.33765189601938861</v>
      </c>
      <c r="F9" s="7">
        <v>0.3</v>
      </c>
    </row>
    <row r="10" spans="1:7" x14ac:dyDescent="0.45">
      <c r="A10" s="4" t="s">
        <v>11</v>
      </c>
      <c r="B10" s="2">
        <v>0.6</v>
      </c>
      <c r="C10" s="2">
        <v>0.4</v>
      </c>
      <c r="D10" s="2">
        <v>0.4</v>
      </c>
      <c r="E10" s="7">
        <f t="shared" ref="E10:E11" si="0">B10*$B$4+C10*$C$4+D10*$D$4</f>
        <v>0.50676730853994756</v>
      </c>
      <c r="F10" s="7">
        <v>0.5</v>
      </c>
    </row>
    <row r="11" spans="1:7" x14ac:dyDescent="0.45">
      <c r="A11" s="4" t="s">
        <v>10</v>
      </c>
      <c r="B11" s="2">
        <v>1</v>
      </c>
      <c r="C11" s="2">
        <v>1</v>
      </c>
      <c r="D11" s="2">
        <v>1</v>
      </c>
      <c r="E11" s="7">
        <f t="shared" si="0"/>
        <v>0.99800259893573628</v>
      </c>
      <c r="F11" s="7">
        <v>1</v>
      </c>
    </row>
  </sheetData>
  <scenarios current="0">
    <scenario name="1" count="3" user="Rubelmar Maia de Azevedo Cruz Neto" comment="Criado por Rubelmar Maia de Azevedo Cruz Neto em 7/24/2025">
      <inputCells r="B4" val="0.6" numFmtId="164"/>
      <inputCells r="C4" val="0" numFmtId="164"/>
      <inputCells r="D4" val="0.4" numFmtId="164"/>
    </scenario>
  </scenarios>
  <mergeCells count="3">
    <mergeCell ref="A1:A2"/>
    <mergeCell ref="B1:C1"/>
    <mergeCell ref="B5:D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01-Max</vt:lpstr>
      <vt:lpstr>01-Max (Resolvido)_SIMPLEX</vt:lpstr>
      <vt:lpstr>01-Max (Resolvido)_AG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Rubelmar</dc:creator>
  <cp:lastModifiedBy>Rubelmar Maia de Azevedo Cruz Neto</cp:lastModifiedBy>
  <dcterms:created xsi:type="dcterms:W3CDTF">2019-04-25T20:24:16Z</dcterms:created>
  <dcterms:modified xsi:type="dcterms:W3CDTF">2025-07-24T21:49:03Z</dcterms:modified>
</cp:coreProperties>
</file>